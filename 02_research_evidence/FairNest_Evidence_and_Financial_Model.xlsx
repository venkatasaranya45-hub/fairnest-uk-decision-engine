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6f1a3d327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73eedad46b34447a"/>
    <x:sheet xmlns:r="http://schemas.openxmlformats.org/officeDocument/2006/relationships" name="Assumptions" sheetId="2" r:id="R9b6491feb2f4445d"/>
    <x:sheet xmlns:r="http://schemas.openxmlformats.org/officeDocument/2006/relationships" name="Scenario Summary" sheetId="3" r:id="Ra076fdcfa44d48fa"/>
    <x:sheet xmlns:r="http://schemas.openxmlformats.org/officeDocument/2006/relationships" name="Monthly Model — Base" sheetId="4" r:id="Rbf3c6b45ba144a70"/>
    <x:sheet xmlns:r="http://schemas.openxmlformats.org/officeDocument/2006/relationships" name="Coventry Listing Dataset" sheetId="5" r:id="Rfd16fc82827b407f"/>
    <x:sheet xmlns:r="http://schemas.openxmlformats.org/officeDocument/2006/relationships" name="Competitor Audit" sheetId="6" r:id="Re569af2874ba49fb"/>
    <x:sheet xmlns:r="http://schemas.openxmlformats.org/officeDocument/2006/relationships" name="Legal &amp; Governance Rules" sheetId="7" r:id="R77723db2c0d440b6"/>
    <x:sheet xmlns:r="http://schemas.openxmlformats.org/officeDocument/2006/relationships" name="Evidence Register" sheetId="8" r:id="R9f31eebccb0d4cc8"/>
    <x:sheet xmlns:r="http://schemas.openxmlformats.org/officeDocument/2006/relationships" name="Research Log" sheetId="9" r:id="R7a7009374a184846"/>
    <x:sheet xmlns:r="http://schemas.openxmlformats.org/officeDocument/2006/relationships" name="Master Source Register" sheetId="10" r:id="R6cfab6635dd34aaf"/>
    <x:sheet xmlns:r="http://schemas.openxmlformats.org/officeDocument/2006/relationships" name="Literature Matrix" sheetId="11" r:id="Rfacadb1295814c0b"/>
    <x:sheet xmlns:r="http://schemas.openxmlformats.org/officeDocument/2006/relationships" name="Supervisor Feedback Log" sheetId="12" r:id="R62fa2efb970645a5"/>
    <x:sheet xmlns:r="http://schemas.openxmlformats.org/officeDocument/2006/relationships" name="Artefact Requirements" sheetId="13" r:id="R884239363f0146f7"/>
    <x:sheet xmlns:r="http://schemas.openxmlformats.org/officeDocument/2006/relationships" name="Artefact Test Record" sheetId="14" r:id="R65ef2495dde84e4d"/>
    <x:sheet xmlns:r="http://schemas.openxmlformats.org/officeDocument/2006/relationships" name="Risk Register" sheetId="15" r:id="R1f95e2d122164f2f"/>
    <x:sheet xmlns:r="http://schemas.openxmlformats.org/officeDocument/2006/relationships" name="Route 3 Rubric Map" sheetId="16" r:id="Rf339e90cbfff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£#,##0;[Red](£#,##0);-"/>
    <x:numFmt numFmtId="201" formatCode="£#,##0.00;[Red](£#,##0.00);-"/>
    <x:numFmt numFmtId="202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A37"/>
      <x:name val="Carlito"/>
    </x:font>
    <x:font>
      <x:sz val="11"/>
      <x:color rgb="FF000000"/>
      <x:name val="Carlito"/>
    </x:font>
    <x:font>
      <x:sz val="11"/>
      <x:color rgb="FF0000FF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3B3A"/>
      </x:patternFill>
    </x:fill>
    <x:fill>
      <x:patternFill patternType="solid">
        <x:fgColor rgb="FF1F5D58"/>
      </x:patternFill>
    </x:fill>
    <x:fill>
      <x:patternFill patternType="solid">
        <x:fgColor rgb="FFDDEFEA"/>
      </x:patternFill>
    </x:fill>
    <x:fill>
      <x:patternFill patternType="solid">
        <x:fgColor rgb="FFFFF2CC"/>
      </x:patternFill>
    </x:fill>
    <x:fill>
      <x:patternFill patternType="solid">
        <x:fgColor rgb="FF153B3A"/>
      </x:patternFill>
    </x:fill>
    <x:fill>
      <x:patternFill patternType="solid">
        <x:fgColor rgb="FFDDEFEA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1" fontId="5" fillId="5" borderId="0" xfId="0" applyNumberFormat="1" applyFont="1" applyFill="1" applyBorder="1"/>
    <x:xf numFmtId="201" fontId="5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FF0000"/>
      </x:font>
      <x:fill>
        <x:patternFill>
          <x:bgColor rgb="FFFCE8E6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7f33c84d74f3e" /><Relationship Type="http://schemas.openxmlformats.org/officeDocument/2006/relationships/theme" Target="/xl/theme/theme1.xml" Id="R28a8ded3a5f04f52" /><Relationship Type="http://schemas.openxmlformats.org/officeDocument/2006/relationships/sharedStrings" Target="/xl/sharedStrings.xml" Id="R008220f8982342da" /><Relationship Type="http://schemas.openxmlformats.org/officeDocument/2006/relationships/worksheet" Target="/xl/worksheets/sheet1.xml" Id="R73eedad46b34447a" /><Relationship Type="http://schemas.openxmlformats.org/officeDocument/2006/relationships/worksheet" Target="/xl/worksheets/sheet2.xml" Id="R9b6491feb2f4445d" /><Relationship Type="http://schemas.openxmlformats.org/officeDocument/2006/relationships/worksheet" Target="/xl/worksheets/sheet3.xml" Id="Ra076fdcfa44d48fa" /><Relationship Type="http://schemas.openxmlformats.org/officeDocument/2006/relationships/worksheet" Target="/xl/worksheets/sheet4.xml" Id="Rbf3c6b45ba144a70" /><Relationship Type="http://schemas.openxmlformats.org/officeDocument/2006/relationships/worksheet" Target="/xl/worksheets/sheet5.xml" Id="Rfd16fc82827b407f" /><Relationship Type="http://schemas.openxmlformats.org/officeDocument/2006/relationships/worksheet" Target="/xl/worksheets/sheet6.xml" Id="Re569af2874ba49fb" /><Relationship Type="http://schemas.openxmlformats.org/officeDocument/2006/relationships/worksheet" Target="/xl/worksheets/sheet7.xml" Id="R77723db2c0d440b6" /><Relationship Type="http://schemas.openxmlformats.org/officeDocument/2006/relationships/worksheet" Target="/xl/worksheets/sheet8.xml" Id="R9f31eebccb0d4cc8" /><Relationship Type="http://schemas.openxmlformats.org/officeDocument/2006/relationships/worksheet" Target="/xl/worksheets/sheet9.xml" Id="R7a7009374a184846" /><Relationship Type="http://schemas.openxmlformats.org/officeDocument/2006/relationships/worksheet" Target="/xl/worksheets/sheet10.xml" Id="R6cfab6635dd34aaf" /><Relationship Type="http://schemas.openxmlformats.org/officeDocument/2006/relationships/worksheet" Target="/xl/worksheets/sheet11.xml" Id="Rfacadb1295814c0b" /><Relationship Type="http://schemas.openxmlformats.org/officeDocument/2006/relationships/worksheet" Target="/xl/worksheets/sheet12.xml" Id="R62fa2efb970645a5" /><Relationship Type="http://schemas.openxmlformats.org/officeDocument/2006/relationships/worksheet" Target="/xl/worksheets/sheet13.xml" Id="R884239363f0146f7" /><Relationship Type="http://schemas.openxmlformats.org/officeDocument/2006/relationships/worksheet" Target="/xl/worksheets/sheet14.xml" Id="R65ef2495dde84e4d" /><Relationship Type="http://schemas.openxmlformats.org/officeDocument/2006/relationships/worksheet" Target="/xl/worksheets/sheet15.xml" Id="R1f95e2d122164f2f" /><Relationship Type="http://schemas.openxmlformats.org/officeDocument/2006/relationships/worksheet" Target="/xl/worksheets/sheet16.xml" Id="Rf339e90cbfff48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024289e7dd4b1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30dcb8ea14c4b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Year-1 revenue vs total cost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Revenue</c:v>
          </c:tx>
          <c:cat>
            <c:strRef>
              <c:f>='Scenario Summary'!$A$5:$A$7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='Scenario Summary'!$E$5:$E$7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Total cost</c:v>
          </c:tx>
          <c:cat>
            <c:strRef>
              <c:f>='Scenario Summary'!$A$5:$A$7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='Scenario Summary'!$F$5:$F$7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 case: monthly revenue vs opex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'Monthly Model — Base'!$B$4</c:f>
              <c:strCache>
                <c:ptCount val="0"/>
              </c:strCache>
            </c:strRef>
          </c:cat>
          <c:val>
            <c:numRef>
              <c:f>'Monthly Model — Base'!$C$4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'Monthly Model — Base'!$B$4</c:f>
              <c:strCache>
                <c:ptCount val="0"/>
              </c:strCache>
            </c:strRef>
          </c:cat>
          <c:val>
            <c:numRef>
              <c:f>'Monthly Model — Base'!$D$4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'Monthly Model — Base'!$B$4</c:f>
              <c:strCache>
                <c:ptCount val="0"/>
              </c:strCache>
            </c:strRef>
          </c:cat>
          <c:val>
            <c:numRef>
              <c:f>'Monthly Model — Base'!$E$4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'Monthly Model — Base'!$B$4</c:f>
              <c:strCache>
                <c:ptCount val="0"/>
              </c:strCache>
            </c:strRef>
          </c:cat>
          <c:val>
            <c:numRef>
              <c:f>'Monthly Model — Base'!$F$4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'Monthly Model — Base'!$B$4</c:f>
              <c:strCache>
                <c:ptCount val="0"/>
              </c:strCache>
            </c:strRef>
          </c:cat>
          <c:val>
            <c:numRef>
              <c:f>'Monthly Model — Base'!$G$4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'Monthly Model — Base'!$B$4</c:f>
              <c:strCache>
                <c:ptCount val="0"/>
              </c:strCache>
            </c:strRef>
          </c:cat>
          <c:val>
            <c:numRef>
              <c:f>'Monthly Model — Base'!$H$4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Series 7</c:v>
          </c:tx>
          <c:marker>
            <c:symbol val="none"/>
          </c:marker>
          <c:cat>
            <c:strRef>
              <c:f>'Monthly Model — Base'!$B$4</c:f>
              <c:strCache>
                <c:ptCount val="0"/>
              </c:strCache>
            </c:strRef>
          </c:cat>
          <c:val>
            <c:numRef>
              <c:f>'Monthly Model — Base'!$I$4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Series 8</c:v>
          </c:tx>
          <c:marker>
            <c:symbol val="none"/>
          </c:marker>
          <c:cat>
            <c:strRef>
              <c:f>'Monthly Model — Base'!$B$4</c:f>
              <c:strCache>
                <c:ptCount val="0"/>
              </c:strCache>
            </c:strRef>
          </c:cat>
          <c:val>
            <c:numRef>
              <c:f>'Monthly Model — Base'!$J$4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v>Series 9</c:v>
          </c:tx>
          <c:marker>
            <c:symbol val="none"/>
          </c:marker>
          <c:cat>
            <c:strRef>
              <c:f>'Monthly Model — Base'!$B$4</c:f>
              <c:strCache>
                <c:ptCount val="0"/>
              </c:strCache>
            </c:strRef>
          </c:cat>
          <c:val>
            <c:numRef>
              <c:f>'Monthly Model — Base'!$K$4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v>Series 10</c:v>
          </c:tx>
          <c:marker>
            <c:symbol val="none"/>
          </c:marker>
          <c:cat>
            <c:strRef>
              <c:f>'Monthly Model — Base'!$B$4</c:f>
              <c:strCache>
                <c:ptCount val="0"/>
              </c:strCache>
            </c:strRef>
          </c:cat>
          <c:val>
            <c:numRef>
              <c:f>'Monthly Model — Base'!$L$4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v>Series 11</c:v>
          </c:tx>
          <c:marker>
            <c:symbol val="none"/>
          </c:marker>
          <c:cat>
            <c:strRef>
              <c:f>'Monthly Model — Base'!$B$4</c:f>
              <c:strCache>
                <c:ptCount val="0"/>
              </c:strCache>
            </c:strRef>
          </c:cat>
          <c:val>
            <c:numRef>
              <c:f>'Monthly Model — Base'!$M$4</c:f>
              <c:numCache>
                <c:formatCode>General</c:formatCode>
                <c:ptCount val="0"/>
              </c:numCache>
            </c:numRef>
          </c:val>
        </c:ser>
        <c:ser>
          <c:idx val="11"/>
          <c:order val="11"/>
          <c:tx>
            <c:v>Revenue</c:v>
          </c:tx>
          <c:marker>
            <c:symbol val="none"/>
          </c:marker>
          <c:cat>
            <c:strRef>
              <c:f>='Monthly Model — Base'!$B$4:$M$4</c:f>
              <c:strCache>
                <c:ptCount val="0"/>
              </c:strCache>
            </c:strRef>
          </c:cat>
          <c:val>
            <c:numRef>
              <c:f>='Monthly Model — Base'!$B$11:$M$11</c:f>
              <c:numCache>
                <c:formatCode>General</c:formatCode>
                <c:ptCount val="0"/>
              </c:numCache>
            </c:numRef>
          </c:val>
        </c:ser>
        <c:ser>
          <c:idx val="12"/>
          <c:order val="12"/>
          <c:tx>
            <c:v>Opex</c:v>
          </c:tx>
          <c:marker>
            <c:symbol val="none"/>
          </c:marker>
          <c:cat>
            <c:strRef>
              <c:f>='Monthly Model — Base'!$B$4:$M$4</c:f>
              <c:strCache>
                <c:ptCount val="0"/>
              </c:strCache>
            </c:strRef>
          </c:cat>
          <c:val>
            <c:numRef>
              <c:f>='Monthly Model — Base'!$B$12:$M$12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024289e7dd4b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0dcb8ea14c4b9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irNest">
  <a:themeElements>
    <a:clrScheme name="FairNes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FairNes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c49fca77eda46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791d8d339c20401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30" hidden="0" customWidth="1"/>
    <x:col min="5" max="5" width="20" hidden="0" customWidth="1"/>
    <x:col min="6" max="6" width="18" hidden="0" customWidth="1"/>
    <x:col min="7" max="7" width="18" hidden="0" customWidth="1"/>
    <x:col min="8" max="8" width="20" hidden="0" customWidth="1"/>
  </x:cols>
  <x:sheetData>
    <x:row r="1">
      <x:c r="A1" s="4" t="str">
        <x:v>FairNest UK — Evidence &amp; Financial Model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9" t="str">
        <x:v>Pilot thesis</x:v>
      </x:c>
      <x:c r="B4" s="9"/>
      <x:c r="C4" s="9"/>
      <x:c r="D4" s="9"/>
      <x:c r="E4" s="9"/>
      <x:c r="F4" s="9"/>
      <x:c r="G4" s="9"/>
      <x:c r="H4" s="9"/>
    </x:row>
    <x:row r="5">
      <x:c r="A5" s="12" t="str">
        <x:v>A decision-support layer for international students: standardise total contract cost, move-in cash, contractual context, commute and source provenance. The model does not assume that the cheapest weekly listing is the best option.</x:v>
      </x:c>
      <x:c r="B5" s="12"/>
      <x:c r="C5" s="12"/>
      <x:c r="D5" s="12"/>
      <x:c r="E5" s="12"/>
      <x:c r="F5" s="12"/>
      <x:c r="G5" s="12"/>
      <x:c r="H5" s="12"/>
    </x:row>
    <x:row r="6">
      <x:c r="A6" s="12"/>
      <x:c r="B6" s="12"/>
      <x:c r="C6" s="12"/>
      <x:c r="D6" s="12"/>
      <x:c r="E6" s="12"/>
      <x:c r="F6" s="12"/>
      <x:c r="G6" s="12"/>
      <x:c r="H6" s="12"/>
    </x:row>
    <x:row r="7">
      <x:c r="A7" s="12"/>
      <x:c r="B7" s="12"/>
      <x:c r="C7" s="12"/>
      <x:c r="D7" s="12"/>
      <x:c r="E7" s="12"/>
      <x:c r="F7" s="12"/>
      <x:c r="G7" s="12"/>
      <x:c r="H7" s="12"/>
    </x:row>
    <x:row r="9">
      <x:c r="A9" s="17" t="str">
        <x:v>Metric</x:v>
      </x:c>
      <x:c r="B9" s="17" t="str">
        <x:v>Base case</x:v>
      </x:c>
      <x:c r="D9" s="17" t="str">
        <x:v>Decision evidence</x:v>
      </x:c>
      <x:c r="E9" s="17" t="str">
        <x:v>Current finding</x:v>
      </x:c>
      <x:c r="F9" s="17" t="str">
        <x:v>Implication</x:v>
      </x:c>
      <x:c r="G9" s="17" t="str">
        <x:v>Source status</x:v>
      </x:c>
      <x:c r="H9" s="17" t="str">
        <x:v>Use in artefact</x:v>
      </x:c>
    </x:row>
    <x:row r="10">
      <x:c r="A10" t="str">
        <x:v>Year-1 revenue</x:v>
      </x:c>
      <x:c r="B10" s="24" t="n">
        <x:f>'Scenario Summary'!E6</x:f>
        <x:v>10070.9</x:v>
      </x:c>
      <x:c r="D10" s="12" t="str">
        <x:v>Coventry 2026/27 market</x:v>
      </x:c>
      <x:c r="E10" s="12" t="str">
        <x:v>Relative PBSA oversupply in the 2024 market study</x:v>
      </x:c>
      <x:c r="F10" s="12" t="str">
        <x:v>Compete on decision quality, not scarcity</x:v>
      </x:c>
      <x:c r="G10" s="12" t="str">
        <x:v>Official local study</x:v>
      </x:c>
      <x:c r="H10" s="12" t="str">
        <x:v>Compare value / evidence</x:v>
      </x:c>
    </x:row>
    <x:row r="11">
      <x:c r="A11" t="str">
        <x:v>Year-1 operating + launch cost</x:v>
      </x:c>
      <x:c r="B11" s="24" t="n">
        <x:f>'Scenario Summary'!F6</x:f>
        <x:v>21800</x:v>
      </x:c>
      <x:c r="D11" s="12" t="str">
        <x:v>Student decision pressure</x:v>
      </x:c>
      <x:c r="E11" s="12" t="str">
        <x:v>Accommodation cost materially affects HE choice</x:v>
      </x:c>
      <x:c r="F11" s="12" t="str">
        <x:v>Make total cost and upfront cash salient</x:v>
      </x:c>
      <x:c r="G11" s="12" t="str">
        <x:v>OfS 2026</x:v>
      </x:c>
      <x:c r="H11" s="12" t="str">
        <x:v>Cost and cash fields</x:v>
      </x:c>
    </x:row>
    <x:row r="12">
      <x:c r="A12" t="str">
        <x:v>Year-1 funding gap</x:v>
      </x:c>
      <x:c r="B12" s="24" t="n">
        <x:f>'Scenario Summary'!G6</x:f>
        <x:v>-11729.1</x:v>
      </x:c>
      <x:c r="D12" s="12" t="str">
        <x:v>2026 private-renting reform</x:v>
      </x:c>
      <x:c r="E12" s="12" t="str">
        <x:v>Most private assured tenancies are rolling from 1 May 2026</x:v>
      </x:c>
      <x:c r="F12" s="12" t="str">
        <x:v>Classify agreement before applying rules</x:v>
      </x:c>
      <x:c r="G12" s="12" t="str">
        <x:v>GOV.UK 2026</x:v>
      </x:c>
      <x:c r="H12" s="12" t="str">
        <x:v>Contract/legal tab</x:v>
      </x:c>
    </x:row>
    <x:row r="13">
      <x:c r="A13" t="str">
        <x:v>Month-12 provider MRR</x:v>
      </x:c>
      <x:c r="B13" s="24" t="n">
        <x:f>'Scenario Summary'!H6</x:f>
        <x:v>1474</x:v>
      </x:c>
      <x:c r="D13" s="12" t="str">
        <x:v>Competitor audit</x:v>
      </x:c>
      <x:c r="E13" s="12" t="str">
        <x:v>Existing services already compare price, room features and some bills</x:v>
      </x:c>
      <x:c r="F13" s="12" t="str">
        <x:v>Avoid claiming 'no comparison exists'</x:v>
      </x:c>
      <x:c r="G13" s="12" t="str">
        <x:v>Live platform review</x:v>
      </x:c>
      <x:c r="H13" s="12" t="str">
        <x:v>Residual-gap positioning</x:v>
      </x:c>
    </x:row>
    <x:row r="14">
      <x:c r="A14" t="str">
        <x:v>Month-12 monthly opex</x:v>
      </x:c>
      <x:c r="B14" s="24" t="n">
        <x:f>Assumptions!B10</x:f>
        <x:v>1450</x:v>
      </x:c>
      <x:c r="D14" s="12" t="str">
        <x:v>Data governance</x:v>
      </x:c>
      <x:c r="E14" s="12" t="str">
        <x:v>Lawful basis + minimisation + accuracy are required</x:v>
      </x:c>
      <x:c r="F14" s="12" t="str">
        <x:v>Collect less; publish source dates</x:v>
      </x:c>
      <x:c r="G14" s="12" t="str">
        <x:v>ICO 2026</x:v>
      </x:c>
      <x:c r="H14" s="12" t="str">
        <x:v>Evidence provenance</x:v>
      </x:c>
    </x:row>
    <x:row r="15">
      <x:c r="A15" t="str">
        <x:v>Provider MRR headroom</x:v>
      </x:c>
      <x:c r="B15" s="24" t="n">
        <x:f>B13-B14</x:f>
        <x:v>24</x:v>
      </x:c>
    </x:row>
  </x:sheetData>
  <x:mergeCells>
    <x:mergeCell ref="A1:H2"/>
    <x:mergeCell ref="A4:H4"/>
    <x:mergeCell ref="A5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52" hidden="0" customWidth="1"/>
    <x:col min="5" max="5" width="16" hidden="0" customWidth="1"/>
  </x:cols>
  <x:sheetData>
    <x:row r="1">
      <x:c r="A1" s="4" t="str">
        <x:v>Commercial assumptions — illustrative, not primary willingness-to-pay evidence</x:v>
      </x:c>
      <x:c r="B1" s="4"/>
      <x:c r="C1" s="4"/>
      <x:c r="D1" s="4"/>
      <x:c r="E1" s="4"/>
    </x:row>
    <x:row r="2">
      <x:c r="A2" s="4"/>
      <x:c r="B2" s="4"/>
      <x:c r="C2" s="4"/>
      <x:c r="D2" s="4"/>
      <x:c r="E2" s="4"/>
    </x:row>
    <x:row r="4">
      <x:c r="A4" s="17" t="str">
        <x:v>Input</x:v>
      </x:c>
      <x:c r="B4" s="17" t="str">
        <x:v>Value</x:v>
      </x:c>
      <x:c r="C4" s="17" t="str">
        <x:v>Unit</x:v>
      </x:c>
      <x:c r="D4" s="17" t="str">
        <x:v>Basis / source</x:v>
      </x:c>
      <x:c r="E4" s="17" t="str">
        <x:v>Status</x:v>
      </x:c>
    </x:row>
    <x:row r="5">
      <x:c r="A5" t="str">
        <x:v>Single verified listing price</x:v>
      </x:c>
      <x:c r="B5" s="30" t="n">
        <x:v>29</x:v>
      </x:c>
      <x:c r="C5" t="str">
        <x:v>£/month</x:v>
      </x:c>
      <x:c r="D5" t="str">
        <x:v>Managerial pilot assumption; requires provider validation</x:v>
      </x:c>
      <x:c r="E5" t="str">
        <x:v>Assumption</x:v>
      </x:c>
    </x:row>
    <x:row r="6">
      <x:c r="A6" t="str">
        <x:v>Provider Pro price</x:v>
      </x:c>
      <x:c r="B6" s="30" t="n">
        <x:v>149</x:v>
      </x:c>
      <x:c r="C6" t="str">
        <x:v>£/month</x:v>
      </x:c>
      <x:c r="D6" t="str">
        <x:v>Managerial pilot assumption; includes multiple listings/analytics</x:v>
      </x:c>
      <x:c r="E6" t="str">
        <x:v>Assumption</x:v>
      </x:c>
    </x:row>
    <x:row r="7">
      <x:c r="A7" t="str">
        <x:v>Student premium export</x:v>
      </x:c>
      <x:c r="B7" s="30" t="n">
        <x:v>7.99</x:v>
      </x:c>
      <x:c r="C7" t="str">
        <x:v>£ one-off</x:v>
      </x:c>
      <x:c r="D7" t="str">
        <x:v>Optional planning/export feature; safety information remains free</x:v>
      </x:c>
      <x:c r="E7" t="str">
        <x:v>Assumption</x:v>
      </x:c>
    </x:row>
    <x:row r="8">
      <x:c r="A8" t="str">
        <x:v>Fixed launch cost</x:v>
      </x:c>
      <x:c r="B8" s="30" t="n">
        <x:v>5900</x:v>
      </x:c>
      <x:c r="C8" t="str">
        <x:v>£</x:v>
      </x:c>
      <x:c r="D8" t="str">
        <x:v>Lean prototype, legal/data review, content and contingency</x:v>
      </x:c>
      <x:c r="E8" t="str">
        <x:v>Assumption</x:v>
      </x:c>
    </x:row>
    <x:row r="9">
      <x:c r="A9" t="str">
        <x:v>Monthly opex — Month 1</x:v>
      </x:c>
      <x:c r="B9" s="30" t="n">
        <x:v>1200</x:v>
      </x:c>
      <x:c r="C9" t="str">
        <x:v>£/month</x:v>
      </x:c>
      <x:c r="D9" t="str">
        <x:v>Lean pilot assumption; founder salary excluded</x:v>
      </x:c>
      <x:c r="E9" t="str">
        <x:v>Assumption</x:v>
      </x:c>
    </x:row>
    <x:row r="10">
      <x:c r="A10" t="str">
        <x:v>Monthly opex — Month 12</x:v>
      </x:c>
      <x:c r="B10" s="30" t="n">
        <x:v>1450</x:v>
      </x:c>
      <x:c r="C10" t="str">
        <x:v>£/month</x:v>
      </x:c>
      <x:c r="D10" t="str">
        <x:v>Verification, tools, support, marketing and contingency</x:v>
      </x:c>
      <x:c r="E10" t="str">
        <x:v>Assumption</x:v>
      </x:c>
    </x:row>
    <x:row r="11">
      <x:c r="A11" t="str">
        <x:v>Model months</x:v>
      </x:c>
      <x:c r="B11" s="27" t="n">
        <x:v>12</x:v>
      </x:c>
      <x:c r="C11" t="str">
        <x:v>months</x:v>
      </x:c>
      <x:c r="D11" t="str">
        <x:v>Year-1 pilot horizon</x:v>
      </x:c>
      <x:c r="E11" t="str">
        <x:v>Assumption</x:v>
      </x:c>
    </x:row>
    <x:row r="13">
      <x:c r="A13" s="17" t="str">
        <x:v>Reference metric</x:v>
      </x:c>
      <x:c r="B13" s="17" t="str">
        <x:v>Value</x:v>
      </x:c>
      <x:c r="C13" s="17" t="str">
        <x:v>Unit</x:v>
      </x:c>
      <x:c r="D13" s="17" t="str">
        <x:v>Source</x:v>
      </x:c>
      <x:c r="E13" s="17" t="str">
        <x:v>Why it matters</x:v>
      </x:c>
    </x:row>
    <x:row r="14">
      <x:c r="A14" t="str">
        <x:v>Coventry-Warwick demand pool</x:v>
      </x:c>
      <x:c r="B14" s="32" t="n">
        <x:v>41835</x:v>
      </x:c>
      <x:c r="C14" t="str">
        <x:v>students</x:v>
      </x:c>
      <x:c r="D14" t="str">
        <x:v>https://www.coventry.gov.uk/downloads/file/44031/purpose-built-student-accommodation-market-study-2024</x:v>
      </x:c>
      <x:c r="E14" t="str">
        <x:v>Local addressable context</x:v>
      </x:c>
    </x:row>
    <x:row r="15">
      <x:c r="A15" t="str">
        <x:v>Coventry PBSA beds 2023/24</x:v>
      </x:c>
      <x:c r="B15" s="32" t="n">
        <x:v>25590</x:v>
      </x:c>
      <x:c r="C15" t="str">
        <x:v>beds</x:v>
      </x:c>
      <x:c r="D15" t="str">
        <x:v>same as above</x:v>
      </x:c>
      <x:c r="E15" t="str">
        <x:v>Supply intensity</x:v>
      </x:c>
    </x:row>
    <x:row r="16">
      <x:c r="A16" t="str">
        <x:v>Coventry student-to-bed ratio</x:v>
      </x:c>
      <x:c r="B16" s="32" t="n">
        <x:v>1.62</x:v>
      </x:c>
      <x:c r="C16" t="str">
        <x:v>x</x:v>
      </x:c>
      <x:c r="D16" t="str">
        <x:v>same as above</x:v>
      </x:c>
      <x:c r="E16" t="str">
        <x:v>Below observed national 2.12:1; relative oversupply</x:v>
      </x:c>
    </x:row>
    <x:row r="17">
      <x:c r="A17" t="str">
        <x:v>UK HE enrolments 2024/25</x:v>
      </x:c>
      <x:c r="B17" s="32" t="n">
        <x:v>2863180</x:v>
      </x:c>
      <x:c r="C17" t="str">
        <x:v>students</x:v>
      </x:c>
      <x:c r="D17" t="str">
        <x:v>https://www.hesa.ac.uk/news/27-01-2026/uk-he-student-numbers-fall-second-year-in-a-row</x:v>
      </x:c>
      <x:c r="E17" t="str">
        <x:v>Market scale but international demand softened</x:v>
      </x:c>
    </x:row>
    <x:row r="18">
      <x:c r="A18" t="str">
        <x:v>OfS: cost strongly influenced university choice</x:v>
      </x:c>
      <x:c r="B18" s="34" t="n">
        <x:v>0.69</x:v>
      </x:c>
      <x:c r="C18" t="str">
        <x:v>%</x:v>
      </x:c>
      <x:c r="D18" t="str">
        <x:v>https://www.officeforstudents.org.uk/news-blog-and-events/press-and-media/ofs-research-finds-over-eight-in-ten-students-are-satisfied-with-their-accommodation/</x:v>
      </x:c>
      <x:c r="E18" t="str">
        <x:v>Supports cost salience</x:v>
      </x:c>
    </x:row>
    <x:row r="19">
      <x:c r="A19" t="str">
        <x:v>OfS: difficulty covering accommodation cost</x:v>
      </x:c>
      <x:c r="B19" s="34" t="n">
        <x:v>0.15</x:v>
      </x:c>
      <x:c r="C19" t="str">
        <x:v>%</x:v>
      </x:c>
      <x:c r="D19" t="str">
        <x:v>same as above</x:v>
      </x:c>
      <x:c r="E19" t="str">
        <x:v>Affordability pressure</x:v>
      </x:c>
    </x:row>
    <x:row r="20">
      <x:c r="A20" t="str">
        <x:v>OfS: West Midlands good value for money</x:v>
      </x:c>
      <x:c r="B20" s="34" t="n">
        <x:v>0.54</x:v>
      </x:c>
      <x:c r="C20" t="str">
        <x:v>%</x:v>
      </x:c>
      <x:c r="D20" t="str">
        <x:v>same as above</x:v>
      </x:c>
      <x:c r="E20" t="str">
        <x:v>Local value-for-money concern</x:v>
      </x:c>
    </x:row>
  </x:sheetData>
  <x:mergeCells>
    <x:mergeCell ref="A1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</x:cols>
  <x:sheetData>
    <x:row r="1">
      <x:c r="A1" s="4" t="str">
        <x:v>Year-1 scenario analysis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7" t="str">
        <x:v>Scenario</x:v>
      </x:c>
      <x:c r="B4" s="17" t="str">
        <x:v>End single listings</x:v>
      </x:c>
      <x:c r="C4" s="17" t="str">
        <x:v>End Pro accounts</x:v>
      </x:c>
      <x:c r="D4" s="17" t="str">
        <x:v>Year premium exports (one-off)</x:v>
      </x:c>
      <x:c r="E4" s="17" t="str">
        <x:v>Year-1 revenue</x:v>
      </x:c>
      <x:c r="F4" s="17" t="str">
        <x:v>Year-1 total cost</x:v>
      </x:c>
      <x:c r="G4" s="17" t="str">
        <x:v>Funding gap</x:v>
      </x:c>
      <x:c r="H4" s="17" t="str">
        <x:v>Month-12 provider MRR</x:v>
      </x:c>
    </x:row>
    <x:row r="5">
      <x:c r="A5" t="str">
        <x:v>Conservative</x:v>
      </x:c>
      <x:c r="B5" s="27" t="n">
        <x:v>15</x:v>
      </x:c>
      <x:c r="C5" s="27" t="n">
        <x:v>2</x:v>
      </x:c>
      <x:c r="D5" s="27" t="n">
        <x:v>40</x:v>
      </x:c>
      <x:c r="E5" s="24" t="n">
        <x:f>ROUND(12*((2+B5)/2*Assumptions!$B$5+(0+C5)/2*Assumptions!$B$6)+D5*Assumptions!$B$7,2)</x:f>
        <x:v>5065.6</x:v>
      </x:c>
      <x:c r="F5" s="24" t="n">
        <x:f>Assumptions!$B$8+12*((Assumptions!$B$9+Assumptions!$B$10)/2)</x:f>
        <x:v>21800</x:v>
      </x:c>
      <x:c r="G5" s="24" t="n">
        <x:f>ROUND(E5-F5,2)</x:f>
        <x:v>-16734.4</x:v>
      </x:c>
      <x:c r="H5" s="24" t="n">
        <x:f>B5*Assumptions!$B$5+C5*Assumptions!$B$6</x:f>
        <x:v>733</x:v>
      </x:c>
    </x:row>
    <x:row r="6">
      <x:c r="A6" t="str">
        <x:v>Base</x:v>
      </x:c>
      <x:c r="B6" s="27" t="n">
        <x:v>20</x:v>
      </x:c>
      <x:c r="C6" s="27" t="n">
        <x:v>6</x:v>
      </x:c>
      <x:c r="D6" s="27" t="n">
        <x:v>110</x:v>
      </x:c>
      <x:c r="E6" s="24" t="n">
        <x:f>ROUND(12*((2+B6)/2*Assumptions!$B$5+(0+C6)/2*Assumptions!$B$6)+D6*Assumptions!$B$7,2)</x:f>
        <x:v>10070.9</x:v>
      </x:c>
      <x:c r="F6" s="24" t="n">
        <x:f>Assumptions!$B$8+12*((Assumptions!$B$9+Assumptions!$B$10)/2)</x:f>
        <x:v>21800</x:v>
      </x:c>
      <x:c r="G6" s="24" t="n">
        <x:f>ROUND(E6-F6,2)</x:f>
        <x:v>-11729.1</x:v>
      </x:c>
      <x:c r="H6" s="24" t="n">
        <x:f>B6*Assumptions!$B$5+C6*Assumptions!$B$6</x:f>
        <x:v>1474</x:v>
      </x:c>
    </x:row>
    <x:row r="7">
      <x:c r="A7" t="str">
        <x:v>Upside</x:v>
      </x:c>
      <x:c r="B7" s="27" t="n">
        <x:v>30</x:v>
      </x:c>
      <x:c r="C7" s="27" t="n">
        <x:v>10</x:v>
      </x:c>
      <x:c r="D7" s="27" t="n">
        <x:v>220</x:v>
      </x:c>
      <x:c r="E7" s="24" t="n">
        <x:f>ROUND(12*((2+B7)/2*Assumptions!$B$5+(0+C7)/2*Assumptions!$B$6)+D7*Assumptions!$B$7,2)</x:f>
        <x:v>16265.8</x:v>
      </x:c>
      <x:c r="F7" s="24" t="n">
        <x:f>Assumptions!$B$8+12*((Assumptions!$B$9+Assumptions!$B$10)/2)</x:f>
        <x:v>21800</x:v>
      </x:c>
      <x:c r="G7" s="24" t="n">
        <x:f>ROUND(E7-F7,2)</x:f>
        <x:v>-5534.2</x:v>
      </x:c>
      <x:c r="H7" s="24" t="n">
        <x:f>B7*Assumptions!$B$5+C7*Assumptions!$B$6</x:f>
        <x:v>2360</x:v>
      </x:c>
    </x:row>
    <x:row r="9" ht="34" customHeight="1">
      <x:c r="A9" s="12" t="str">
        <x:v>Interpretation: even the base case remains cash-negative in Year 1 because the model funds verification capability and a lean launch before recurring revenue matures. This is a feasibility finding, not a defect to hide. The pilot needs a funding buffer and explicit go/no-go gates.</x:v>
      </x:c>
      <x:c r="B9" s="12"/>
      <x:c r="C9" s="12"/>
      <x:c r="D9" s="12"/>
      <x:c r="E9" s="12"/>
      <x:c r="F9" s="12"/>
      <x:c r="G9" s="12"/>
      <x:c r="H9" s="12"/>
    </x:row>
    <x:row r="10" ht="34" customHeight="1">
      <x:c r="A10" s="12"/>
      <x:c r="B10" s="12"/>
      <x:c r="C10" s="12"/>
      <x:c r="D10" s="12"/>
      <x:c r="E10" s="12"/>
      <x:c r="F10" s="12"/>
      <x:c r="G10" s="12"/>
      <x:c r="H10" s="12"/>
    </x:row>
  </x:sheetData>
  <x:mergeCells>
    <x:mergeCell ref="A1:H2"/>
    <x:mergeCell ref="A9:H10"/>
  </x:mergeCells>
  <x:conditionalFormatting sqref="G5:G7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9c49fca77eda46a4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</x:cols>
  <x:sheetData>
    <x:row r="1">
      <x:c r="A1" s="4" t="str">
        <x:v>Base-case monthly operating model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4">
      <x:c r="A4" s="17"/>
      <x:c r="B4" s="17" t="str">
        <x:v>M1</x:v>
      </x:c>
      <x:c r="C4" s="17" t="str">
        <x:v>M2</x:v>
      </x:c>
      <x:c r="D4" s="17" t="str">
        <x:v>M3</x:v>
      </x:c>
      <x:c r="E4" s="17" t="str">
        <x:v>M4</x:v>
      </x:c>
      <x:c r="F4" s="17" t="str">
        <x:v>M5</x:v>
      </x:c>
      <x:c r="G4" s="17" t="str">
        <x:v>M6</x:v>
      </x:c>
      <x:c r="H4" s="17" t="str">
        <x:v>M7</x:v>
      </x:c>
      <x:c r="I4" s="17" t="str">
        <x:v>M8</x:v>
      </x:c>
      <x:c r="J4" s="17" t="str">
        <x:v>M9</x:v>
      </x:c>
      <x:c r="K4" s="17" t="str">
        <x:v>M10</x:v>
      </x:c>
      <x:c r="L4" s="17" t="str">
        <x:v>M11</x:v>
      </x:c>
      <x:c r="M4" s="17" t="str">
        <x:v>M12</x:v>
      </x:c>
    </x:row>
    <x:row r="5">
      <x:c r="A5" t="str">
        <x:v>Single paid listings</x:v>
      </x:c>
      <x:c r="B5" s="32" t="n">
        <x:v>2</x:v>
      </x:c>
      <x:c r="C5" s="32" t="n">
        <x:v>4</x:v>
      </x:c>
      <x:c r="D5" s="32" t="n">
        <x:v>5</x:v>
      </x:c>
      <x:c r="E5" s="32" t="n">
        <x:v>7</x:v>
      </x:c>
      <x:c r="F5" s="32" t="n">
        <x:v>8</x:v>
      </x:c>
      <x:c r="G5" s="32" t="n">
        <x:v>10</x:v>
      </x:c>
      <x:c r="H5" s="32" t="n">
        <x:v>12</x:v>
      </x:c>
      <x:c r="I5" s="32" t="n">
        <x:v>13</x:v>
      </x:c>
      <x:c r="J5" s="32" t="n">
        <x:v>15</x:v>
      </x:c>
      <x:c r="K5" s="32" t="n">
        <x:v>17</x:v>
      </x:c>
      <x:c r="L5" s="32" t="n">
        <x:v>19</x:v>
      </x:c>
      <x:c r="M5" s="32" t="n">
        <x:v>20</x:v>
      </x:c>
    </x:row>
    <x:row r="6">
      <x:c r="A6" t="str">
        <x:v>Provider Pro accounts</x:v>
      </x:c>
      <x:c r="B6" s="32" t="n">
        <x:v>0</x:v>
      </x:c>
      <x:c r="C6" s="32" t="n">
        <x:v>1</x:v>
      </x:c>
      <x:c r="D6" s="32" t="n">
        <x:v>1</x:v>
      </x:c>
      <x:c r="E6" s="32" t="n">
        <x:v>2</x:v>
      </x:c>
      <x:c r="F6" s="32" t="n">
        <x:v>2</x:v>
      </x:c>
      <x:c r="G6" s="32" t="n">
        <x:v>2</x:v>
      </x:c>
      <x:c r="H6" s="32" t="n">
        <x:v>3</x:v>
      </x:c>
      <x:c r="I6" s="32" t="n">
        <x:v>4</x:v>
      </x:c>
      <x:c r="J6" s="32" t="n">
        <x:v>4</x:v>
      </x:c>
      <x:c r="K6" s="32" t="n">
        <x:v>5</x:v>
      </x:c>
      <x:c r="L6" s="32" t="n">
        <x:v>6</x:v>
      </x:c>
      <x:c r="M6" s="32" t="n">
        <x:v>6</x:v>
      </x:c>
    </x:row>
    <x:row r="7">
      <x:c r="A7" t="str">
        <x:v>Premium exports</x:v>
      </x:c>
      <x:c r="B7" s="32" t="n">
        <x:v>3</x:v>
      </x:c>
      <x:c r="C7" s="32" t="n">
        <x:v>4</x:v>
      </x:c>
      <x:c r="D7" s="32" t="n">
        <x:v>5</x:v>
      </x:c>
      <x:c r="E7" s="32" t="n">
        <x:v>7</x:v>
      </x:c>
      <x:c r="F7" s="32" t="n">
        <x:v>11</x:v>
      </x:c>
      <x:c r="G7" s="32" t="n">
        <x:v>17</x:v>
      </x:c>
      <x:c r="H7" s="32" t="n">
        <x:v>22</x:v>
      </x:c>
      <x:c r="I7" s="32" t="n">
        <x:v>18</x:v>
      </x:c>
      <x:c r="J7" s="32" t="n">
        <x:v>10</x:v>
      </x:c>
      <x:c r="K7" s="32" t="n">
        <x:v>7</x:v>
      </x:c>
      <x:c r="L7" s="32" t="n">
        <x:v>4</x:v>
      </x:c>
      <x:c r="M7" s="32" t="n">
        <x:v>2</x:v>
      </x:c>
    </x:row>
    <x:row r="8">
      <x:c r="A8" t="str">
        <x:v>Single listing revenue</x:v>
      </x:c>
      <x:c r="B8" s="24" t="n">
        <x:f>B5*Assumptions!$B$5</x:f>
        <x:v>58</x:v>
      </x:c>
      <x:c r="C8" s="24" t="n">
        <x:f>C5*Assumptions!$B$5</x:f>
        <x:v>116</x:v>
      </x:c>
      <x:c r="D8" s="24" t="n">
        <x:f>D5*Assumptions!$B$5</x:f>
        <x:v>145</x:v>
      </x:c>
      <x:c r="E8" s="24" t="n">
        <x:f>E5*Assumptions!$B$5</x:f>
        <x:v>203</x:v>
      </x:c>
      <x:c r="F8" s="24" t="n">
        <x:f>F5*Assumptions!$B$5</x:f>
        <x:v>232</x:v>
      </x:c>
      <x:c r="G8" s="24" t="n">
        <x:f>G5*Assumptions!$B$5</x:f>
        <x:v>290</x:v>
      </x:c>
      <x:c r="H8" s="24" t="n">
        <x:f>H5*Assumptions!$B$5</x:f>
        <x:v>348</x:v>
      </x:c>
      <x:c r="I8" s="24" t="n">
        <x:f>I5*Assumptions!$B$5</x:f>
        <x:v>377</x:v>
      </x:c>
      <x:c r="J8" s="24" t="n">
        <x:f>J5*Assumptions!$B$5</x:f>
        <x:v>435</x:v>
      </x:c>
      <x:c r="K8" s="24" t="n">
        <x:f>K5*Assumptions!$B$5</x:f>
        <x:v>493</x:v>
      </x:c>
      <x:c r="L8" s="24" t="n">
        <x:f>L5*Assumptions!$B$5</x:f>
        <x:v>551</x:v>
      </x:c>
      <x:c r="M8" s="24" t="n">
        <x:f>M5*Assumptions!$B$5</x:f>
        <x:v>580</x:v>
      </x:c>
    </x:row>
    <x:row r="9">
      <x:c r="A9" t="str">
        <x:v>Pro revenue</x:v>
      </x:c>
      <x:c r="B9" s="24" t="n">
        <x:f>B6*Assumptions!$B$6</x:f>
        <x:v>0</x:v>
      </x:c>
      <x:c r="C9" s="24" t="n">
        <x:f>C6*Assumptions!$B$6</x:f>
        <x:v>149</x:v>
      </x:c>
      <x:c r="D9" s="24" t="n">
        <x:f>D6*Assumptions!$B$6</x:f>
        <x:v>149</x:v>
      </x:c>
      <x:c r="E9" s="24" t="n">
        <x:f>E6*Assumptions!$B$6</x:f>
        <x:v>298</x:v>
      </x:c>
      <x:c r="F9" s="24" t="n">
        <x:f>F6*Assumptions!$B$6</x:f>
        <x:v>298</x:v>
      </x:c>
      <x:c r="G9" s="24" t="n">
        <x:f>G6*Assumptions!$B$6</x:f>
        <x:v>298</x:v>
      </x:c>
      <x:c r="H9" s="24" t="n">
        <x:f>H6*Assumptions!$B$6</x:f>
        <x:v>447</x:v>
      </x:c>
      <x:c r="I9" s="24" t="n">
        <x:f>I6*Assumptions!$B$6</x:f>
        <x:v>596</x:v>
      </x:c>
      <x:c r="J9" s="24" t="n">
        <x:f>J6*Assumptions!$B$6</x:f>
        <x:v>596</x:v>
      </x:c>
      <x:c r="K9" s="24" t="n">
        <x:f>K6*Assumptions!$B$6</x:f>
        <x:v>745</x:v>
      </x:c>
      <x:c r="L9" s="24" t="n">
        <x:f>L6*Assumptions!$B$6</x:f>
        <x:v>894</x:v>
      </x:c>
      <x:c r="M9" s="24" t="n">
        <x:f>M6*Assumptions!$B$6</x:f>
        <x:v>894</x:v>
      </x:c>
    </x:row>
    <x:row r="10">
      <x:c r="A10" t="str">
        <x:v>Premium revenue</x:v>
      </x:c>
      <x:c r="B10" s="24" t="n">
        <x:f>B7*Assumptions!$B$7</x:f>
        <x:v>23.97</x:v>
      </x:c>
      <x:c r="C10" s="24" t="n">
        <x:f>C7*Assumptions!$B$7</x:f>
        <x:v>31.96</x:v>
      </x:c>
      <x:c r="D10" s="24" t="n">
        <x:f>D7*Assumptions!$B$7</x:f>
        <x:v>39.95</x:v>
      </x:c>
      <x:c r="E10" s="24" t="n">
        <x:f>E7*Assumptions!$B$7</x:f>
        <x:v>55.93</x:v>
      </x:c>
      <x:c r="F10" s="24" t="n">
        <x:f>F7*Assumptions!$B$7</x:f>
        <x:v>87.89</x:v>
      </x:c>
      <x:c r="G10" s="24" t="n">
        <x:f>G7*Assumptions!$B$7</x:f>
        <x:v>135.83</x:v>
      </x:c>
      <x:c r="H10" s="24" t="n">
        <x:f>H7*Assumptions!$B$7</x:f>
        <x:v>175.78</x:v>
      </x:c>
      <x:c r="I10" s="24" t="n">
        <x:f>I7*Assumptions!$B$7</x:f>
        <x:v>143.82</x:v>
      </x:c>
      <x:c r="J10" s="24" t="n">
        <x:f>J7*Assumptions!$B$7</x:f>
        <x:v>79.9</x:v>
      </x:c>
      <x:c r="K10" s="24" t="n">
        <x:f>K7*Assumptions!$B$7</x:f>
        <x:v>55.93</x:v>
      </x:c>
      <x:c r="L10" s="24" t="n">
        <x:f>L7*Assumptions!$B$7</x:f>
        <x:v>31.96</x:v>
      </x:c>
      <x:c r="M10" s="24" t="n">
        <x:f>M7*Assumptions!$B$7</x:f>
        <x:v>15.98</x:v>
      </x:c>
    </x:row>
    <x:row r="11">
      <x:c r="A11" t="str">
        <x:v>Total revenue</x:v>
      </x:c>
      <x:c r="B11" s="24" t="n">
        <x:f>SUM(B8:B10)</x:f>
        <x:v>81.97</x:v>
      </x:c>
      <x:c r="C11" s="24" t="n">
        <x:f>SUM(C8:C10)</x:f>
        <x:v>296.96</x:v>
      </x:c>
      <x:c r="D11" s="24" t="n">
        <x:f>SUM(D8:D10)</x:f>
        <x:v>333.95</x:v>
      </x:c>
      <x:c r="E11" s="24" t="n">
        <x:f>SUM(E8:E10)</x:f>
        <x:v>556.93</x:v>
      </x:c>
      <x:c r="F11" s="24" t="n">
        <x:f>SUM(F8:F10)</x:f>
        <x:v>617.89</x:v>
      </x:c>
      <x:c r="G11" s="24" t="n">
        <x:f>SUM(G8:G10)</x:f>
        <x:v>723.83</x:v>
      </x:c>
      <x:c r="H11" s="24" t="n">
        <x:f>SUM(H8:H10)</x:f>
        <x:v>970.78</x:v>
      </x:c>
      <x:c r="I11" s="24" t="n">
        <x:f>SUM(I8:I10)</x:f>
        <x:v>1116.82</x:v>
      </x:c>
      <x:c r="J11" s="24" t="n">
        <x:f>SUM(J8:J10)</x:f>
        <x:v>1110.9</x:v>
      </x:c>
      <x:c r="K11" s="24" t="n">
        <x:f>SUM(K8:K10)</x:f>
        <x:v>1293.93</x:v>
      </x:c>
      <x:c r="L11" s="24" t="n">
        <x:f>SUM(L8:L10)</x:f>
        <x:v>1476.96</x:v>
      </x:c>
      <x:c r="M11" s="24" t="n">
        <x:f>SUM(M8:M10)</x:f>
        <x:v>1489.98</x:v>
      </x:c>
    </x:row>
    <x:row r="12">
      <x:c r="A12" t="str">
        <x:v>Monthly opex</x:v>
      </x:c>
      <x:c r="B12" s="24" t="n">
        <x:f>Assumptions!$B$9+(Assumptions!$B$10-Assumptions!$B$9)*(1-1)/11</x:f>
        <x:v>1200</x:v>
      </x:c>
      <x:c r="C12" s="24" t="n">
        <x:f>Assumptions!$B$9+(Assumptions!$B$10-Assumptions!$B$9)*(2-1)/11</x:f>
        <x:v>1222.7272727272727</x:v>
      </x:c>
      <x:c r="D12" s="24" t="n">
        <x:f>Assumptions!$B$9+(Assumptions!$B$10-Assumptions!$B$9)*(3-1)/11</x:f>
        <x:v>1245.4545454545455</x:v>
      </x:c>
      <x:c r="E12" s="24" t="n">
        <x:f>Assumptions!$B$9+(Assumptions!$B$10-Assumptions!$B$9)*(4-1)/11</x:f>
        <x:v>1268.1818181818182</x:v>
      </x:c>
      <x:c r="F12" s="24" t="n">
        <x:f>Assumptions!$B$9+(Assumptions!$B$10-Assumptions!$B$9)*(5-1)/11</x:f>
        <x:v>1290.909090909091</x:v>
      </x:c>
      <x:c r="G12" s="24" t="n">
        <x:f>Assumptions!$B$9+(Assumptions!$B$10-Assumptions!$B$9)*(6-1)/11</x:f>
        <x:v>1313.6363636363637</x:v>
      </x:c>
      <x:c r="H12" s="24" t="n">
        <x:f>Assumptions!$B$9+(Assumptions!$B$10-Assumptions!$B$9)*(7-1)/11</x:f>
        <x:v>1336.3636363636365</x:v>
      </x:c>
      <x:c r="I12" s="24" t="n">
        <x:f>Assumptions!$B$9+(Assumptions!$B$10-Assumptions!$B$9)*(8-1)/11</x:f>
        <x:v>1359.090909090909</x:v>
      </x:c>
      <x:c r="J12" s="24" t="n">
        <x:f>Assumptions!$B$9+(Assumptions!$B$10-Assumptions!$B$9)*(9-1)/11</x:f>
        <x:v>1381.8181818181818</x:v>
      </x:c>
      <x:c r="K12" s="24" t="n">
        <x:f>Assumptions!$B$9+(Assumptions!$B$10-Assumptions!$B$9)*(10-1)/11</x:f>
        <x:v>1404.5454545454545</x:v>
      </x:c>
      <x:c r="L12" s="24" t="n">
        <x:f>Assumptions!$B$9+(Assumptions!$B$10-Assumptions!$B$9)*(11-1)/11</x:f>
        <x:v>1427.2727272727273</x:v>
      </x:c>
      <x:c r="M12" s="24" t="n">
        <x:f>Assumptions!$B$9+(Assumptions!$B$10-Assumptions!$B$9)*(12-1)/11</x:f>
        <x:v>1450</x:v>
      </x:c>
    </x:row>
    <x:row r="13">
      <x:c r="A13" t="str">
        <x:v>Monthly net cash</x:v>
      </x:c>
      <x:c r="B13" s="24" t="n">
        <x:f>B11-B12</x:f>
        <x:v>-1118.03</x:v>
      </x:c>
      <x:c r="C13" s="24" t="n">
        <x:f>C11-C12</x:f>
        <x:v>-925.7672727272727</x:v>
      </x:c>
      <x:c r="D13" s="24" t="n">
        <x:f>D11-D12</x:f>
        <x:v>-911.5045454545455</x:v>
      </x:c>
      <x:c r="E13" s="24" t="n">
        <x:f>E11-E12</x:f>
        <x:v>-711.2518181818183</x:v>
      </x:c>
      <x:c r="F13" s="24" t="n">
        <x:f>F11-F12</x:f>
        <x:v>-673.019090909091</x:v>
      </x:c>
      <x:c r="G13" s="24" t="n">
        <x:f>G11-G12</x:f>
        <x:v>-589.8063636363637</x:v>
      </x:c>
      <x:c r="H13" s="24" t="n">
        <x:f>H11-H12</x:f>
        <x:v>-365.5836363636365</x:v>
      </x:c>
      <x:c r="I13" s="24" t="n">
        <x:f>I11-I12</x:f>
        <x:v>-242.27090909090907</x:v>
      </x:c>
      <x:c r="J13" s="24" t="n">
        <x:f>J11-J12</x:f>
        <x:v>-270.91818181818167</x:v>
      </x:c>
      <x:c r="K13" s="24" t="n">
        <x:f>K11-K12</x:f>
        <x:v>-110.61545454545444</x:v>
      </x:c>
      <x:c r="L13" s="24" t="n">
        <x:f>L11-L12</x:f>
        <x:v>49.687272727272784</x:v>
      </x:c>
      <x:c r="M13" s="24" t="n">
        <x:f>M11-M12</x:f>
        <x:v>39.98000000000002</x:v>
      </x:c>
    </x:row>
    <x:row r="14">
      <x:c r="A14" t="str">
        <x:v>Cumulative cash after launch</x:v>
      </x:c>
      <x:c r="B14" s="24" t="n">
        <x:f>-Assumptions!$B$8+B13</x:f>
        <x:v>-7018.03</x:v>
      </x:c>
      <x:c r="C14" s="24" t="n">
        <x:f>B14+C13</x:f>
        <x:v>-7943.797272727273</x:v>
      </x:c>
      <x:c r="D14" s="24" t="n">
        <x:f>C14+D13</x:f>
        <x:v>-8855.301818181819</x:v>
      </x:c>
      <x:c r="E14" s="24" t="n">
        <x:f>D14+E13</x:f>
        <x:v>-9566.553636363637</x:v>
      </x:c>
      <x:c r="F14" s="24" t="n">
        <x:f>E14+F13</x:f>
        <x:v>-10239.572727272727</x:v>
      </x:c>
      <x:c r="G14" s="24" t="n">
        <x:f>F14+G13</x:f>
        <x:v>-10829.379090909091</x:v>
      </x:c>
      <x:c r="H14" s="24" t="n">
        <x:f>G14+H13</x:f>
        <x:v>-11194.962727272728</x:v>
      </x:c>
      <x:c r="I14" s="24" t="n">
        <x:f>H14+I13</x:f>
        <x:v>-11437.233636363637</x:v>
      </x:c>
      <x:c r="J14" s="24" t="n">
        <x:f>I14+J13</x:f>
        <x:v>-11708.15181818182</x:v>
      </x:c>
      <x:c r="K14" s="24" t="n">
        <x:f>J14+K13</x:f>
        <x:v>-11818.767272727273</x:v>
      </x:c>
      <x:c r="L14" s="24" t="n">
        <x:f>K14+L13</x:f>
        <x:v>-11769.08</x:v>
      </x:c>
      <x:c r="M14" s="24" t="n">
        <x:f>L14+M13</x:f>
        <x:v>-11729.1</x:v>
      </x:c>
    </x:row>
    <x:row r="16">
      <x:c r="A16" s="12" t="str">
        <x:v>Model boundary: founder salary, corporation tax, financing cost and VAT treatment are excluded because this is an academic pre-launch feasibility model. Any live launch would require accounting and legal review before these figures were used for investment decisions.</x:v>
      </x:c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</x:sheetData>
  <x:mergeCells>
    <x:mergeCell ref="A1:M2"/>
    <x:mergeCell ref="A16:M16"/>
  </x:mergeCells>
  <x:conditionalFormatting sqref="B13:M14">
    <x:cfRule type="cellIs" dxfId="1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791d8d339c204010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18" hidden="0" customWidth="1"/>
    <x:col min="5" max="5" width="18" hidden="0" customWidth="1"/>
    <x:col min="6" max="6" width="15" hidden="0" customWidth="1"/>
    <x:col min="7" max="7" width="14" hidden="0" customWidth="1"/>
    <x:col min="8" max="8" width="16" hidden="0" customWidth="1"/>
    <x:col min="9" max="9" width="20" hidden="0" customWidth="1"/>
    <x:col min="10" max="10" width="17" hidden="0" customWidth="1"/>
    <x:col min="11" max="11" width="14" hidden="0" customWidth="1"/>
    <x:col min="12" max="12" width="16" hidden="0" customWidth="1"/>
    <x:col min="13" max="13" width="30" hidden="0" customWidth="1"/>
    <x:col min="14" max="14" width="14" hidden="0" customWidth="1"/>
    <x:col min="15" max="15" width="48" hidden="0" customWidth="1"/>
    <x:col min="16" max="16" width="48" hidden="0" customWidth="1"/>
    <x:col min="17" max="17" width="58" hidden="0" customWidth="1"/>
  </x:cols>
  <x:sheetData>
    <x:row r="1">
      <x:c r="A1" s="17" t="str">
        <x:v>ID</x:v>
      </x:c>
      <x:c r="B1" s="17" t="str">
        <x:v>Accommodation</x:v>
      </x:c>
      <x:c r="C1" s="17" t="str">
        <x:v>Provider</x:v>
      </x:c>
      <x:c r="D1" s="17" t="str">
        <x:v>Provider type</x:v>
      </x:c>
      <x:c r="E1" s="17" t="str">
        <x:v>Room type</x:v>
      </x:c>
      <x:c r="F1" s="17" t="str">
        <x:v>Weekly rent (£)</x:v>
      </x:c>
      <x:c r="G1" s="17" t="str">
        <x:v>Contract weeks</x:v>
      </x:c>
      <x:c r="H1" s="17" t="str">
        <x:v>Contract total (£)</x:v>
      </x:c>
      <x:c r="I1" s="17" t="str">
        <x:v>Move-in cash captured (£)</x:v>
      </x:c>
      <x:c r="J1" s="17" t="str">
        <x:v>Walk to Coventry Uni (min)</x:v>
      </x:c>
      <x:c r="K1" s="17" t="str">
        <x:v>Bills</x:v>
      </x:c>
      <x:c r="L1" s="17" t="str">
        <x:v>Evidence completeness</x:v>
      </x:c>
      <x:c r="M1" s="17" t="str">
        <x:v>Contract context</x:v>
      </x:c>
      <x:c r="N1" s="17" t="str">
        <x:v>Evidence checked</x:v>
      </x:c>
      <x:c r="O1" s="17" t="str">
        <x:v>Primary source</x:v>
      </x:c>
      <x:c r="P1" s="17" t="str">
        <x:v>Supporting source</x:v>
      </x:c>
      <x:c r="Q1" s="17" t="str">
        <x:v>Notes</x:v>
      </x:c>
    </x:row>
    <x:row r="2">
      <x:c r="A2" s="12" t="str">
        <x:v>CU-CW-E</x:v>
      </x:c>
      <x:c r="B2" s="12" t="str">
        <x:v>The Cycle Works — En-suite</x:v>
      </x:c>
      <x:c r="C2" s="12" t="str">
        <x:v>Coventry University</x:v>
      </x:c>
      <x:c r="D2" s="12" t="str">
        <x:v>University hall</x:v>
      </x:c>
      <x:c r="E2" s="12" t="str">
        <x:v>En-suite</x:v>
      </x:c>
      <x:c r="F2" s="40" t="n">
        <x:v>154</x:v>
      </x:c>
      <x:c r="G2" s="40" t="n">
        <x:v>50</x:v>
      </x:c>
      <x:c r="H2" s="40" t="n">
        <x:v>7700</x:v>
      </x:c>
      <x:c r="I2" s="40" t="n">
        <x:v>2656.67</x:v>
      </x:c>
      <x:c r="J2" s="12" t="n">
        <x:v>5</x:v>
      </x:c>
      <x:c r="K2" s="12" t="str">
        <x:v>Included</x:v>
      </x:c>
      <x:c r="L2" s="41" t="n">
        <x:v>0.97</x:v>
      </x:c>
      <x:c r="M2" s="12" t="str">
        <x:v>University hall / licence terms</x:v>
      </x:c>
      <x:c r="N2" s="12" t="str">
        <x:v>2026-09-16</x:v>
      </x:c>
      <x:c r="O2" s="12" t="str">
        <x:v>https://www.coventry.ac.uk/life-on-campus/accommodation/applying/accommodation-fees/</x:v>
      </x:c>
      <x:c r="P2" s="12" t="str">
        <x:v>https://www.coventry.ac.uk/life-on-campus/accommodation/applying/ways-to-pay/</x:v>
      </x:c>
      <x:c r="Q2" s="12" t="str">
        <x:v>£90 + one-third annual rent at booking for Sep 2026 international students.</x:v>
      </x:c>
    </x:row>
    <x:row r="3">
      <x:c r="A3" s="12" t="str">
        <x:v>CU-CW-S</x:v>
      </x:c>
      <x:c r="B3" s="12" t="str">
        <x:v>The Cycle Works — Standard studio</x:v>
      </x:c>
      <x:c r="C3" s="12" t="str">
        <x:v>Coventry University</x:v>
      </x:c>
      <x:c r="D3" s="12" t="str">
        <x:v>University hall</x:v>
      </x:c>
      <x:c r="E3" s="12" t="str">
        <x:v>Studio</x:v>
      </x:c>
      <x:c r="F3" s="40" t="n">
        <x:v>178</x:v>
      </x:c>
      <x:c r="G3" s="40" t="n">
        <x:v>50</x:v>
      </x:c>
      <x:c r="H3" s="40" t="n">
        <x:v>8900</x:v>
      </x:c>
      <x:c r="I3" s="40" t="n">
        <x:v>3056.67</x:v>
      </x:c>
      <x:c r="J3" s="12" t="n">
        <x:v>5</x:v>
      </x:c>
      <x:c r="K3" s="12" t="str">
        <x:v>Included</x:v>
      </x:c>
      <x:c r="L3" s="41" t="n">
        <x:v>0.97</x:v>
      </x:c>
      <x:c r="M3" s="12" t="str">
        <x:v>University hall / licence terms</x:v>
      </x:c>
      <x:c r="N3" s="12" t="str">
        <x:v>2026-09-16</x:v>
      </x:c>
      <x:c r="O3" s="12" t="str">
        <x:v>https://www.coventry.ac.uk/life-on-campus/accommodation/applying/accommodation-fees/</x:v>
      </x:c>
      <x:c r="P3" s="12" t="str">
        <x:v>https://www.coventry.ac.uk/life-on-campus/accommodation/applying/ways-to-pay/</x:v>
      </x:c>
      <x:c r="Q3" s="12" t="str">
        <x:v>Official price + payment schedule.</x:v>
      </x:c>
    </x:row>
    <x:row r="4">
      <x:c r="A4" s="12" t="str">
        <x:v>CU-BG-E</x:v>
      </x:c>
      <x:c r="B4" s="12" t="str">
        <x:v>Bishop Gate — En-suite</x:v>
      </x:c>
      <x:c r="C4" s="12" t="str">
        <x:v>Coventry University</x:v>
      </x:c>
      <x:c r="D4" s="12" t="str">
        <x:v>University hall</x:v>
      </x:c>
      <x:c r="E4" s="12" t="str">
        <x:v>En-suite</x:v>
      </x:c>
      <x:c r="F4" s="40" t="n">
        <x:v>162</x:v>
      </x:c>
      <x:c r="G4" s="40" t="n">
        <x:v>50</x:v>
      </x:c>
      <x:c r="H4" s="40" t="n">
        <x:v>8100</x:v>
      </x:c>
      <x:c r="I4" s="40" t="n">
        <x:v>2790</x:v>
      </x:c>
      <x:c r="J4" s="12" t="n">
        <x:v>10</x:v>
      </x:c>
      <x:c r="K4" s="12" t="str">
        <x:v>Included</x:v>
      </x:c>
      <x:c r="L4" s="41" t="n">
        <x:v>0.97</x:v>
      </x:c>
      <x:c r="M4" s="12" t="str">
        <x:v>University hall / licence terms</x:v>
      </x:c>
      <x:c r="N4" s="12" t="str">
        <x:v>2026-09-16</x:v>
      </x:c>
      <x:c r="O4" s="12" t="str">
        <x:v>https://www.coventry.ac.uk/life-on-campus/accommodation/applying/accommodation-fees/</x:v>
      </x:c>
      <x:c r="P4" s="12" t="str">
        <x:v>https://www.coventry.ac.uk/life-on-campus/accommodation/where-can-i-live/bishop-gate/</x:v>
      </x:c>
      <x:c r="Q4" s="12" t="str">
        <x:v>Official price, bills and commute.</x:v>
      </x:c>
    </x:row>
    <x:row r="5">
      <x:c r="A5" s="12" t="str">
        <x:v>CU-BG-S</x:v>
      </x:c>
      <x:c r="B5" s="12" t="str">
        <x:v>Bishop Gate — Standard studio</x:v>
      </x:c>
      <x:c r="C5" s="12" t="str">
        <x:v>Coventry University</x:v>
      </x:c>
      <x:c r="D5" s="12" t="str">
        <x:v>University hall</x:v>
      </x:c>
      <x:c r="E5" s="12" t="str">
        <x:v>Studio</x:v>
      </x:c>
      <x:c r="F5" s="40" t="n">
        <x:v>190</x:v>
      </x:c>
      <x:c r="G5" s="40" t="n">
        <x:v>50</x:v>
      </x:c>
      <x:c r="H5" s="40" t="n">
        <x:v>9500</x:v>
      </x:c>
      <x:c r="I5" s="40" t="n">
        <x:v>3256.67</x:v>
      </x:c>
      <x:c r="J5" s="12" t="n">
        <x:v>10</x:v>
      </x:c>
      <x:c r="K5" s="12" t="str">
        <x:v>Included</x:v>
      </x:c>
      <x:c r="L5" s="41" t="n">
        <x:v>0.97</x:v>
      </x:c>
      <x:c r="M5" s="12" t="str">
        <x:v>University hall / licence terms</x:v>
      </x:c>
      <x:c r="N5" s="12" t="str">
        <x:v>2026-09-16</x:v>
      </x:c>
      <x:c r="O5" s="12" t="str">
        <x:v>https://www.coventry.ac.uk/life-on-campus/accommodation/applying/accommodation-fees/</x:v>
      </x:c>
      <x:c r="P5" s="12" t="str">
        <x:v>https://www.coventry.ac.uk/life-on-campus/accommodation/applying/ways-to-pay/</x:v>
      </x:c>
      <x:c r="Q5" s="12" t="str">
        <x:v>Official price; upfront calculated from published schedule.</x:v>
      </x:c>
    </x:row>
    <x:row r="6">
      <x:c r="A6" s="12" t="str">
        <x:v>CU-GP-E</x:v>
      </x:c>
      <x:c r="B6" s="12" t="str">
        <x:v>Godiva Place — En-suite</x:v>
      </x:c>
      <x:c r="C6" s="12" t="str">
        <x:v>Coventry University</x:v>
      </x:c>
      <x:c r="D6" s="12" t="str">
        <x:v>University hall</x:v>
      </x:c>
      <x:c r="E6" s="12" t="str">
        <x:v>En-suite</x:v>
      </x:c>
      <x:c r="F6" s="40" t="n">
        <x:v>162</x:v>
      </x:c>
      <x:c r="G6" s="40" t="n">
        <x:v>50</x:v>
      </x:c>
      <x:c r="H6" s="40" t="n">
        <x:v>8100</x:v>
      </x:c>
      <x:c r="I6" s="40" t="n">
        <x:v>2790</x:v>
      </x:c>
      <x:c r="J6" s="12" t="n">
        <x:v>5</x:v>
      </x:c>
      <x:c r="K6" s="12" t="str">
        <x:v>Included</x:v>
      </x:c>
      <x:c r="L6" s="41" t="n">
        <x:v>0.95</x:v>
      </x:c>
      <x:c r="M6" s="12" t="str">
        <x:v>University hall / licence terms</x:v>
      </x:c>
      <x:c r="N6" s="12" t="str">
        <x:v>2026-09-16</x:v>
      </x:c>
      <x:c r="O6" s="12" t="str">
        <x:v>https://www.coventry.ac.uk/life-on-campus/accommodation/applying/accommodation-fees/</x:v>
      </x:c>
      <x:c r="P6" s="12" t="str">
        <x:v>https://www.coventry.ac.uk/life-on-campus/accommodation/</x:v>
      </x:c>
      <x:c r="Q6" s="12" t="str">
        <x:v>Official university data.</x:v>
      </x:c>
    </x:row>
    <x:row r="7">
      <x:c r="A7" s="12" t="str">
        <x:v>CU-GP-T</x:v>
      </x:c>
      <x:c r="B7" s="12" t="str">
        <x:v>Godiva Place — Twudio (per person)</x:v>
      </x:c>
      <x:c r="C7" s="12" t="str">
        <x:v>Coventry University</x:v>
      </x:c>
      <x:c r="D7" s="12" t="str">
        <x:v>University hall</x:v>
      </x:c>
      <x:c r="E7" s="12" t="str">
        <x:v>Shared / twudio</x:v>
      </x:c>
      <x:c r="F7" s="40" t="n">
        <x:v>113</x:v>
      </x:c>
      <x:c r="G7" s="40" t="n">
        <x:v>50</x:v>
      </x:c>
      <x:c r="H7" s="40" t="n">
        <x:v>5650</x:v>
      </x:c>
      <x:c r="I7" s="40" t="n">
        <x:v>1973.33</x:v>
      </x:c>
      <x:c r="J7" s="12" t="n">
        <x:v>5</x:v>
      </x:c>
      <x:c r="K7" s="12" t="str">
        <x:v>Included</x:v>
      </x:c>
      <x:c r="L7" s="41" t="n">
        <x:v>0.94</x:v>
      </x:c>
      <x:c r="M7" s="12" t="str">
        <x:v>University hall / licence terms</x:v>
      </x:c>
      <x:c r="N7" s="12" t="str">
        <x:v>2026-09-16</x:v>
      </x:c>
      <x:c r="O7" s="12" t="str">
        <x:v>https://www.coventry.ac.uk/life-on-campus/accommodation/applying/accommodation-fees/</x:v>
      </x:c>
      <x:c r="P7" s="12" t="str">
        <x:v>https://www.coventry.ac.uk/life-on-campus/accommodation/applying/ways-to-pay/</x:v>
      </x:c>
      <x:c r="Q7" s="12" t="str">
        <x:v>Double-occupancy, per-person price.</x:v>
      </x:c>
    </x:row>
    <x:row r="8">
      <x:c r="A8" s="12" t="str">
        <x:v>IQ-WP-B</x:v>
      </x:c>
      <x:c r="B8" s="12" t="str">
        <x:v>iQ Weaver Place — Bronze En Suite Plus</x:v>
      </x:c>
      <x:c r="C8" s="12" t="str">
        <x:v>iQ</x:v>
      </x:c>
      <x:c r="D8" s="12" t="str">
        <x:v>PBSA</x:v>
      </x:c>
      <x:c r="E8" s="12" t="str">
        <x:v>En-suite</x:v>
      </x:c>
      <x:c r="F8" s="40" t="n">
        <x:v>138</x:v>
      </x:c>
      <x:c r="G8" s="40" t="n">
        <x:v>51</x:v>
      </x:c>
      <x:c r="H8" s="40" t="n">
        <x:v>7038</x:v>
      </x:c>
      <x:c r="I8" s="40" t="n">
        <x:v>125</x:v>
      </x:c>
      <x:c r="J8" s="12" t="n">
        <x:v>6</x:v>
      </x:c>
      <x:c r="K8" s="12" t="str">
        <x:v>Included</x:v>
      </x:c>
      <x:c r="L8" s="41" t="n">
        <x:v>0.89</x:v>
      </x:c>
      <x:c r="M8" s="12" t="str">
        <x:v>PBSA — agreement type to verify</x:v>
      </x:c>
      <x:c r="N8" s="12" t="str">
        <x:v>2026-09-16</x:v>
      </x:c>
      <x:c r="O8" s="12" t="str">
        <x:v>https://www.iqstudentaccommodation.com/coventry/weaver-place/bronze-en-suite-plus</x:v>
      </x:c>
      <x:c r="P8" s="12" t="str">
        <x:v>https://www.iqstudentaccommodation.com/coventry/weaver-place</x:v>
      </x:c>
      <x:c r="Q8" s="12" t="str">
        <x:v>Booking fee is part of rent; not treated as full eventual cash liability.</x:v>
      </x:c>
    </x:row>
    <x:row r="9">
      <x:c r="A9" s="12" t="str">
        <x:v>IQ-WP-SE</x:v>
      </x:c>
      <x:c r="B9" s="12" t="str">
        <x:v>iQ Weaver Place — Silver En Suite Plus</x:v>
      </x:c>
      <x:c r="C9" s="12" t="str">
        <x:v>iQ</x:v>
      </x:c>
      <x:c r="D9" s="12" t="str">
        <x:v>PBSA</x:v>
      </x:c>
      <x:c r="E9" s="12" t="str">
        <x:v>En-suite</x:v>
      </x:c>
      <x:c r="F9" s="40" t="n">
        <x:v>165</x:v>
      </x:c>
      <x:c r="G9" s="40" t="n">
        <x:v>51</x:v>
      </x:c>
      <x:c r="H9" s="40" t="n">
        <x:v>8415</x:v>
      </x:c>
      <x:c r="I9" s="40" t="n">
        <x:v>125</x:v>
      </x:c>
      <x:c r="J9" s="12" t="n">
        <x:v>6</x:v>
      </x:c>
      <x:c r="K9" s="12" t="str">
        <x:v>Included</x:v>
      </x:c>
      <x:c r="L9" s="41" t="n">
        <x:v>0.89</x:v>
      </x:c>
      <x:c r="M9" s="12" t="str">
        <x:v>PBSA — agreement type to verify</x:v>
      </x:c>
      <x:c r="N9" s="12" t="str">
        <x:v>2026-09-16</x:v>
      </x:c>
      <x:c r="O9" s="12" t="str">
        <x:v>https://www.iqstudentaccommodation.com/coventry/weaver-place/silver-en-suite-plus</x:v>
      </x:c>
      <x:c r="P9" s="12" t="str">
        <x:v>https://www.iqstudentaccommodation.com/coventry/weaver-place</x:v>
      </x:c>
      <x:c r="Q9" s="12" t="str">
        <x:v>Room page gives price, length, booking fee and bills.</x:v>
      </x:c>
    </x:row>
    <x:row r="10">
      <x:c r="A10" s="12" t="str">
        <x:v>IQ-WP-SS</x:v>
      </x:c>
      <x:c r="B10" s="12" t="str">
        <x:v>iQ Weaver Place — Silver Studio</x:v>
      </x:c>
      <x:c r="C10" s="12" t="str">
        <x:v>iQ</x:v>
      </x:c>
      <x:c r="D10" s="12" t="str">
        <x:v>PBSA</x:v>
      </x:c>
      <x:c r="E10" s="12" t="str">
        <x:v>Studio</x:v>
      </x:c>
      <x:c r="F10" s="40" t="n">
        <x:v>219</x:v>
      </x:c>
      <x:c r="G10" s="40" t="n">
        <x:v>51</x:v>
      </x:c>
      <x:c r="H10" s="40" t="n">
        <x:v>11169</x:v>
      </x:c>
      <x:c r="I10" s="40" t="n">
        <x:v>125</x:v>
      </x:c>
      <x:c r="J10" s="12" t="n">
        <x:v>6</x:v>
      </x:c>
      <x:c r="K10" s="12" t="str">
        <x:v>Included</x:v>
      </x:c>
      <x:c r="L10" s="41" t="n">
        <x:v>0.89</x:v>
      </x:c>
      <x:c r="M10" s="12" t="str">
        <x:v>PBSA — agreement type to verify</x:v>
      </x:c>
      <x:c r="N10" s="12" t="str">
        <x:v>2026-09-16</x:v>
      </x:c>
      <x:c r="O10" s="12" t="str">
        <x:v>https://www.iqstudentaccommodation.com/coventry/weaver-place/silver-studio-0</x:v>
      </x:c>
      <x:c r="P10" s="12" t="str">
        <x:v>https://www.iqstudentaccommodation.com/coventry/weaver-place</x:v>
      </x:c>
      <x:c r="Q10" s="12" t="str">
        <x:v>Room page gives price, length, booking fee and bills.</x:v>
      </x:c>
    </x:row>
    <x:row r="11">
      <x:c r="A11" s="12" t="str">
        <x:v>UL-QP</x:v>
      </x:c>
      <x:c r="B11" s="12" t="str">
        <x:v>Queens Park House — city-page 'from' price</x:v>
      </x:c>
      <x:c r="C11" s="12" t="str">
        <x:v>University Living</x:v>
      </x:c>
      <x:c r="D11" s="12" t="str">
        <x:v>Aggregator</x:v>
      </x:c>
      <x:c r="E11" s="12" t="str">
        <x:v>Mixed / unspecified</x:v>
      </x:c>
      <x:c r="F11" s="40" t="n">
        <x:v>86.4</x:v>
      </x:c>
      <x:c r="G11" s="40"/>
      <x:c r="H11" s="40"/>
      <x:c r="I11" s="40"/>
      <x:c r="J11" s="12"/>
      <x:c r="K11" s="12" t="str">
        <x:v>Check room</x:v>
      </x:c>
      <x:c r="L11" s="41" t="n">
        <x:v>0.52</x:v>
      </x:c>
      <x:c r="M11" s="12" t="str">
        <x:v>Aggregator listing — verify provider agreement</x:v>
      </x:c>
      <x:c r="N11" s="12" t="str">
        <x:v>2026-09-16</x:v>
      </x:c>
      <x:c r="O11" s="12" t="str">
        <x:v>https://www.universityliving.com/united-kingdom/city/coventry</x:v>
      </x:c>
      <x:c r="P11" s="12" t="str"/>
      <x:c r="Q11" s="12" t="str">
        <x:v>Included to demonstrate uncertainty and missing-data penalties.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20" hidden="0" customWidth="1"/>
    <x:col min="5" max="5" width="18" hidden="0" customWidth="1"/>
    <x:col min="6" max="6" width="28" hidden="0" customWidth="1"/>
    <x:col min="7" max="7" width="32" hidden="0" customWidth="1"/>
    <x:col min="8" max="8" width="24" hidden="0" customWidth="1"/>
    <x:col min="9" max="9" width="24" hidden="0" customWidth="1"/>
    <x:col min="10" max="10" width="24" hidden="0" customWidth="1"/>
    <x:col min="11" max="11" width="42" hidden="0" customWidth="1"/>
    <x:col min="12" max="12" width="50" hidden="0" customWidth="1"/>
  </x:cols>
  <x:sheetData>
    <x:row r="1">
      <x:c r="A1" s="17" t="str">
        <x:v>Channel</x:v>
      </x:c>
      <x:c r="B1" s="17" t="str">
        <x:v>Primary role</x:v>
      </x:c>
      <x:c r="C1" s="17" t="str">
        <x:v>Cross-option comparison</x:v>
      </x:c>
      <x:c r="D1" s="17" t="str">
        <x:v>Bills / cost detail</x:v>
      </x:c>
      <x:c r="E1" s="17" t="str">
        <x:v>Commute / location</x:v>
      </x:c>
      <x:c r="F1" s="17" t="str">
        <x:v>Legal / contract guidance</x:v>
      </x:c>
      <x:c r="G1" s="17" t="str">
        <x:v>Verification / trust signal</x:v>
      </x:c>
      <x:c r="H1" s="17" t="str">
        <x:v>Source-level provenance</x:v>
      </x:c>
      <x:c r="I1" s="17" t="str">
        <x:v>Tenancy-regime logic</x:v>
      </x:c>
      <x:c r="J1" s="17" t="str">
        <x:v>Move-in cash normalisation</x:v>
      </x:c>
      <x:c r="K1" s="17" t="str">
        <x:v>Residual gap for FairNest</x:v>
      </x:c>
      <x:c r="L1" s="17" t="str">
        <x:v>Source</x:v>
      </x:c>
    </x:row>
    <x:row r="2">
      <x:c r="A2" s="12" t="str">
        <x:v>Student.com</x:v>
      </x:c>
      <x:c r="B2" s="12" t="str">
        <x:v>Student accommodation marketplace</x:v>
      </x:c>
      <x:c r="C2" s="12" t="str">
        <x:v>Strong</x:v>
      </x:c>
      <x:c r="D2" s="12" t="str">
        <x:v>Strong</x:v>
      </x:c>
      <x:c r="E2" s="12" t="str">
        <x:v>Strong</x:v>
      </x:c>
      <x:c r="F2" s="12" t="str">
        <x:v>Limited within comparison</x:v>
      </x:c>
      <x:c r="G2" s="12" t="str">
        <x:v>Platform/provider signals</x:v>
      </x:c>
      <x:c r="H2" s="12" t="str">
        <x:v>Limited at field level</x:v>
      </x:c>
      <x:c r="I2" s="12" t="str">
        <x:v>No visible regime engine</x:v>
      </x:c>
      <x:c r="J2" s="12" t="str">
        <x:v>Not the core comparison field</x:v>
      </x:c>
      <x:c r="K2" s="12" t="str">
        <x:v>FairNest must add legal context + source freshness, not duplicate feature comparison</x:v>
      </x:c>
      <x:c r="L2" s="12" t="str">
        <x:v>https://www.student.com/compare</x:v>
      </x:c>
    </x:row>
    <x:row r="3">
      <x:c r="A3" s="12" t="str">
        <x:v>University Living</x:v>
      </x:c>
      <x:c r="B3" s="12" t="str">
        <x:v>Student accommodation marketplace</x:v>
      </x:c>
      <x:c r="C3" s="12" t="str">
        <x:v>Search/filter led</x:v>
      </x:c>
      <x:c r="D3" s="12" t="str">
        <x:v>Strong listing badges</x:v>
      </x:c>
      <x:c r="E3" s="12" t="str">
        <x:v>Strong</x:v>
      </x:c>
      <x:c r="F3" s="12" t="str">
        <x:v>Policies/booking conditions vary by listing</x:v>
      </x:c>
      <x:c r="G3" s="12" t="str">
        <x:v>Verified-housing positioning</x:v>
      </x:c>
      <x:c r="H3" s="12" t="str">
        <x:v>Limited at field level</x:v>
      </x:c>
      <x:c r="I3" s="12" t="str">
        <x:v>No visible cross-regime engine</x:v>
      </x:c>
      <x:c r="J3" s="12" t="str">
        <x:v>Not consistently normalised at city-result level</x:v>
      </x:c>
      <x:c r="K3" s="12" t="str">
        <x:v>Opportunity is standardisation and auditability across provider types</x:v>
      </x:c>
      <x:c r="L3" s="12" t="str">
        <x:v>https://www.universityliving.com/united-kingdom/city/coventry</x:v>
      </x:c>
    </x:row>
    <x:row r="4">
      <x:c r="A4" s="12" t="str">
        <x:v>Rightmove</x:v>
      </x:c>
      <x:c r="B4" s="12" t="str">
        <x:v>General property portal + renter guides</x:v>
      </x:c>
      <x:c r="C4" s="12" t="str">
        <x:v>Property search</x:v>
      </x:c>
      <x:c r="D4" s="12" t="str">
        <x:v>Listing dependent</x:v>
      </x:c>
      <x:c r="E4" s="12" t="str">
        <x:v>Strong</x:v>
      </x:c>
      <x:c r="F4" s="12" t="str">
        <x:v>Strong 2026 educational guidance</x:v>
      </x:c>
      <x:c r="G4" s="12" t="str">
        <x:v>Agent/listing ecosystem</x:v>
      </x:c>
      <x:c r="H4" s="12" t="str">
        <x:v>Listing/page source</x:v>
      </x:c>
      <x:c r="I4" s="12" t="str">
        <x:v>Guidance explains differences</x:v>
      </x:c>
      <x:c r="J4" s="12" t="str">
        <x:v>Private-rental payment guidance</x:v>
      </x:c>
      <x:c r="K4" s="12" t="str">
        <x:v>FairNest can connect guidance to the exact option being compared</x:v>
      </x:c>
      <x:c r="L4" s="12" t="str">
        <x:v>https://www.rightmove.co.uk/guides/renter/student-property/international-students/</x:v>
      </x:c>
    </x:row>
    <x:row r="5">
      <x:c r="A5" s="12" t="str">
        <x:v>Student SpareRoom</x:v>
      </x:c>
      <x:c r="B5" s="12" t="str">
        <x:v>Classified room marketplace</x:v>
      </x:c>
      <x:c r="C5" s="12" t="str">
        <x:v>Search/filter led</x:v>
      </x:c>
      <x:c r="D5" s="12" t="str">
        <x:v>Listing dependent</x:v>
      </x:c>
      <x:c r="E5" s="12" t="str">
        <x:v>Strong</x:v>
      </x:c>
      <x:c r="F5" s="12" t="str">
        <x:v>Safety guidance</x:v>
      </x:c>
      <x:c r="G5" s="12" t="str">
        <x:v>Manual/automated anti-scam systems; not every advertiser reference checked</x:v>
      </x:c>
      <x:c r="H5" s="12" t="str">
        <x:v>Listing-level advert</x:v>
      </x:c>
      <x:c r="I5" s="12" t="str">
        <x:v>No decision engine</x:v>
      </x:c>
      <x:c r="J5" s="12" t="str">
        <x:v>Listing dependent</x:v>
      </x:c>
      <x:c r="K5" s="12" t="str">
        <x:v>FairNest can foreground evidence gaps and verification limits</x:v>
      </x:c>
      <x:c r="L5" s="12" t="str">
        <x:v>https://student.spareroom.co.uk/content/student-advice/safety-tips-student/</x:v>
      </x:c>
    </x:row>
    <x:row r="6">
      <x:c r="A6" s="12" t="str">
        <x:v>Coventry University</x:v>
      </x:c>
      <x:c r="B6" s="12" t="str">
        <x:v>Own-hall provider</x:v>
      </x:c>
      <x:c r="C6" s="12" t="str">
        <x:v>Within own estate</x:v>
      </x:c>
      <x:c r="D6" s="12" t="str">
        <x:v>Excellent</x:v>
      </x:c>
      <x:c r="E6" s="12" t="str">
        <x:v>Excellent</x:v>
      </x:c>
      <x:c r="F6" s="12" t="str">
        <x:v>Licence/payment terms for own halls</x:v>
      </x:c>
      <x:c r="G6" s="12" t="str">
        <x:v>Institutional source</x:v>
      </x:c>
      <x:c r="H6" s="12" t="str">
        <x:v>High</x:v>
      </x:c>
      <x:c r="I6" s="12" t="str">
        <x:v>Own-agreement context</x:v>
      </x:c>
      <x:c r="J6" s="12" t="str">
        <x:v>Excellent for international payment schedule</x:v>
      </x:c>
      <x:c r="K6" s="12" t="str">
        <x:v>FairNest adds cross-provider comparability</x:v>
      </x:c>
      <x:c r="L6" s="12" t="str">
        <x:v>https://www.coventry.ac.uk/life-on-campus/accommodation/applying/accommodation-fees/</x:v>
      </x:c>
    </x:row>
    <x:row r="7">
      <x:c r="A7" s="12" t="str">
        <x:v>UKCISA</x:v>
      </x:c>
      <x:c r="B7" s="12" t="str">
        <x:v>International-student guidance</x:v>
      </x:c>
      <x:c r="C7" s="12" t="str">
        <x:v>No inventory</x:v>
      </x:c>
      <x:c r="D7" s="12" t="str">
        <x:v>Guidance only</x:v>
      </x:c>
      <x:c r="E7" s="12" t="str">
        <x:v>Guidance only</x:v>
      </x:c>
      <x:c r="F7" s="12" t="str">
        <x:v>Excellent</x:v>
      </x:c>
      <x:c r="G7" s="12" t="str">
        <x:v>Accreditation/scam guidance</x:v>
      </x:c>
      <x:c r="H7" s="12" t="str">
        <x:v>High-authority advice</x:v>
      </x:c>
      <x:c r="I7" s="12" t="str">
        <x:v>Explains differing contexts</x:v>
      </x:c>
      <x:c r="J7" s="12" t="str">
        <x:v>Guidance, not property calculation</x:v>
      </x:c>
      <x:c r="K7" s="12" t="str">
        <x:v>FairNest can operationalise the questions without replacing advice</x:v>
      </x:c>
      <x:c r="L7" s="12" t="str">
        <x:v>https://www.ukcisa.org.uk/student-advice/life-in-the-uk/accommodation/</x:v>
      </x:c>
    </x:row>
    <x:row r="8">
      <x:c r="A8" s="12" t="str">
        <x:v>UCAS Budget Calculator</x:v>
      </x:c>
      <x:c r="B8" s="12" t="str">
        <x:v>Living-cost budgeting</x:v>
      </x:c>
      <x:c r="C8" s="12" t="str">
        <x:v>Location-level budgeting</x:v>
      </x:c>
      <x:c r="D8" s="12" t="str">
        <x:v>Strong broad budget</x:v>
      </x:c>
      <x:c r="E8" s="12" t="str">
        <x:v>Location based</x:v>
      </x:c>
      <x:c r="F8" s="12" t="str">
        <x:v>No property contract engine</x:v>
      </x:c>
      <x:c r="G8" s="12" t="str">
        <x:v>Uses partner data</x:v>
      </x:c>
      <x:c r="H8" s="12" t="str">
        <x:v>Method/source partners stated</x:v>
      </x:c>
      <x:c r="I8" s="12" t="str">
        <x:v>No</x:v>
      </x:c>
      <x:c r="J8" s="12" t="str">
        <x:v>Broad monthly budgeting</x:v>
      </x:c>
      <x:c r="K8" s="12" t="str">
        <x:v>FairNest is property-level and move-in-cash focused</x:v>
      </x:c>
      <x:c r="L8" s="12" t="str">
        <x:v>https://www.ucas.com/money-and-student-life/money/budgeting/budget-calculator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0" hidden="0" customWidth="1"/>
    <x:col min="4" max="4" width="42" hidden="0" customWidth="1"/>
    <x:col min="5" max="5" width="52" hidden="0" customWidth="1"/>
    <x:col min="6" max="6" width="34" hidden="0" customWidth="1"/>
  </x:cols>
  <x:sheetData>
    <x:row r="1">
      <x:c r="A1" s="17" t="str">
        <x:v>Rule / control</x:v>
      </x:c>
      <x:c r="B1" s="17" t="str">
        <x:v>Applies when</x:v>
      </x:c>
      <x:c r="C1" s="17" t="str">
        <x:v>2026 requirement / design rule</x:v>
      </x:c>
      <x:c r="D1" s="17" t="str">
        <x:v>FairNest control</x:v>
      </x:c>
      <x:c r="E1" s="17" t="str">
        <x:v>Primary source</x:v>
      </x:c>
      <x:c r="F1" s="17" t="str">
        <x:v>Caveat</x:v>
      </x:c>
    </x:row>
    <x:row r="2">
      <x:c r="A2" s="12" t="str">
        <x:v>Assured periodic tenancy</x:v>
      </x:c>
      <x:c r="B2" s="12" t="str">
        <x:v>Most private assured tenancies in England</x:v>
      </x:c>
      <x:c r="C2" s="12" t="str">
        <x:v>From 1 May 2026, rolling rather than fixed-term</x:v>
      </x:c>
      <x:c r="D2" s="12" t="str">
        <x:v>Classify agreement type before applying private-rental rules</x:v>
      </x:c>
      <x:c r="E2" s="12" t="str">
        <x:v>https://www.gov.uk/guidance/renters-rights-act-overview-for-tenants</x:v>
      </x:c>
      <x:c r="F2" s="12" t="str">
        <x:v>Different rules apply to student halls.</x:v>
      </x:c>
    </x:row>
    <x:row r="3">
      <x:c r="A3" s="12" t="str">
        <x:v>Rent before signing</x:v>
      </x:c>
      <x:c r="B3" s="12" t="str">
        <x:v>Assured periodic tenancy</x:v>
      </x:c>
      <x:c r="C3" s="12" t="str">
        <x:v>Landlord/agent cannot ask for, encourage or accept rent before agreement signed</x:v>
      </x:c>
      <x:c r="D3" s="12" t="str">
        <x:v>Flag payment request timing</x:v>
      </x:c>
      <x:c r="E3" s="12" t="str">
        <x:v>https://www.gov.uk/assured-periodic-tenancies-tenants/rent-in-advance-and-deposits</x:v>
      </x:c>
      <x:c r="F3" s="12" t="str">
        <x:v>Do not apply automatically to halls/PBSA without classification.</x:v>
      </x:c>
    </x:row>
    <x:row r="4">
      <x:c r="A4" s="12" t="str">
        <x:v>Rent in advance</x:v>
      </x:c>
      <x:c r="B4" s="12" t="str">
        <x:v>Assured periodic tenancy</x:v>
      </x:c>
      <x:c r="C4" s="12" t="str">
        <x:v>After signing, maximum one month in advance at the pre-tenancy stage</x:v>
      </x:c>
      <x:c r="D4" s="12" t="str">
        <x:v>Compare requested amount to rule where applicable</x:v>
      </x:c>
      <x:c r="E4" s="12" t="str">
        <x:v>https://www.gov.uk/guidance/renters-rights-act-overview-for-tenants</x:v>
      </x:c>
      <x:c r="F4" s="12" t="str">
        <x:v>Context-specific.</x:v>
      </x:c>
    </x:row>
    <x:row r="5">
      <x:c r="A5" s="12" t="str">
        <x:v>Holding deposit</x:v>
      </x:c>
      <x:c r="B5" s="12" t="str">
        <x:v>Tenant Fees Act context</x:v>
      </x:c>
      <x:c r="C5" s="12" t="str">
        <x:v>Maximum one week's rent</x:v>
      </x:c>
      <x:c r="D5" s="12" t="str">
        <x:v>Calculate and flag excess</x:v>
      </x:c>
      <x:c r="E5" s="12" t="str">
        <x:v>https://www.gov.uk/guidance/fees-you-can-charge-as-part-of-a-tenancy</x:v>
      </x:c>
      <x:c r="F5" s="12" t="str">
        <x:v>Per tenancy, not per tenant.</x:v>
      </x:c>
    </x:row>
    <x:row r="6">
      <x:c r="A6" s="12" t="str">
        <x:v>Tenancy deposit</x:v>
      </x:c>
      <x:c r="B6" s="12" t="str">
        <x:v>Relevant private tenancy</x:v>
      </x:c>
      <x:c r="C6" s="12" t="str">
        <x:v>Normally five weeks below £50k annual rent; six weeks £50k–£100k; protect in approved scheme</x:v>
      </x:c>
      <x:c r="D6" s="12" t="str">
        <x:v>Calculate cap + ask for scheme evidence</x:v>
      </x:c>
      <x:c r="E6" s="12" t="str">
        <x:v>https://www.gov.uk/guidance/fees-you-can-charge-as-part-of-a-tenancy</x:v>
      </x:c>
      <x:c r="F6" s="12" t="str">
        <x:v>University halls can differ.</x:v>
      </x:c>
    </x:row>
    <x:row r="7">
      <x:c r="A7" s="12" t="str">
        <x:v>Data minimisation</x:v>
      </x:c>
      <x:c r="B7" s="12" t="str">
        <x:v>FairNest accounts / enquiries</x:v>
      </x:c>
      <x:c r="C7" s="12" t="str">
        <x:v>Collect only adequate, relevant and necessary personal data</x:v>
      </x:c>
      <x:c r="D7" s="12" t="str">
        <x:v>No nationality-based ranking; minimise profile fields</x:v>
      </x:c>
      <x:c r="E7" s="12" t="str">
        <x:v>https://ico.org.uk/for-organisations/uk-gdpr-guidance-and-resources/data-protection-principles/a-guide-to-the-data-protection-principles/data-minimisation/</x:v>
      </x:c>
      <x:c r="F7" s="12" t="str">
        <x:v>Lawful basis must be documented separately.</x:v>
      </x:c>
    </x:row>
    <x:row r="8">
      <x:c r="A8" s="12" t="str">
        <x:v>Paid placement transparency</x:v>
      </x:c>
      <x:c r="B8" s="12" t="str">
        <x:v>Future monetised listings</x:v>
      </x:c>
      <x:c r="C8" s="12" t="str">
        <x:v>Commercial relationships must not distort decision support</x:v>
      </x:c>
      <x:c r="D8" s="12" t="str">
        <x:v>Paid placement visually separated; zero impact on Fit Score</x:v>
      </x:c>
      <x:c r="E8" s="12" t="str">
        <x:v>https://www.gov.uk/government/publications/online-choice-architecture-how-digital-design-can-harm-competition-and-consumers</x:v>
      </x:c>
      <x:c r="F8" s="12" t="str">
        <x:v>Governance design based on consumer-choice evidence.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0" hidden="0" customWidth="1"/>
    <x:col min="4" max="4" width="55" hidden="0" customWidth="1"/>
    <x:col min="5" max="5" width="48" hidden="0" customWidth="1"/>
    <x:col min="6" max="6" width="52" hidden="0" customWidth="1"/>
  </x:cols>
  <x:sheetData>
    <x:row r="1">
      <x:c r="A1" s="17" t="str">
        <x:v>Type</x:v>
      </x:c>
      <x:c r="B1" s="17" t="str">
        <x:v>Source / author</x:v>
      </x:c>
      <x:c r="C1" s="17" t="str">
        <x:v>Year</x:v>
      </x:c>
      <x:c r="D1" s="17" t="str">
        <x:v>Finding used</x:v>
      </x:c>
      <x:c r="E1" s="17" t="str">
        <x:v>Critical limitation / transfer issue</x:v>
      </x:c>
      <x:c r="F1" s="17" t="str">
        <x:v>URL / DOI</x:v>
      </x:c>
    </x:row>
    <x:row r="2">
      <x:c r="A2" s="12" t="str">
        <x:v>Official statistics</x:v>
      </x:c>
      <x:c r="B2" s="12" t="str">
        <x:v>HESA</x:v>
      </x:c>
      <x:c r="C2" s="12" t="str">
        <x:v>2026</x:v>
      </x:c>
      <x:c r="D2" s="12" t="str">
        <x:v>2,863,180 HE students in 2024/25; international students down 6%; international PGT entrants down 10%</x:v>
      </x:c>
      <x:c r="E2" s="12" t="str">
        <x:v>Demand is material but not a one-way growth story</x:v>
      </x:c>
      <x:c r="F2" s="12" t="str">
        <x:v>https://www.hesa.ac.uk/news/27-01-2026/uk-he-student-numbers-fall-second-year-in-a-row</x:v>
      </x:c>
    </x:row>
    <x:row r="3">
      <x:c r="A3" s="12" t="str">
        <x:v>Regulator research</x:v>
      </x:c>
      <x:c r="B3" s="12" t="str">
        <x:v>Office for Students / IFF</x:v>
      </x:c>
      <x:c r="C3" s="12" t="str">
        <x:v>2026</x:v>
      </x:c>
      <x:c r="D3" s="12" t="str">
        <x:v>87% overall accommodation satisfaction; 69% cost influenced institution choice; 15% struggled to cover cost; West Midlands 54% good value</x:v>
      </x:c>
      <x:c r="E3" s="12" t="str">
        <x:v>First-year students in England; not specifically international/postgraduate</x:v>
      </x:c>
      <x:c r="F3" s="12" t="str">
        <x:v>https://www.officeforstudents.org.uk/news-blog-and-events/press-and-media/ofs-research-finds-over-eight-in-ten-students-are-satisfied-with-their-accommodation/</x:v>
      </x:c>
    </x:row>
    <x:row r="4">
      <x:c r="A4" s="12" t="str">
        <x:v>Local market study</x:v>
      </x:c>
      <x:c r="B4" s="12" t="str">
        <x:v>Coventry City Council / Cushman &amp; Wakefield</x:v>
      </x:c>
      <x:c r="C4" s="12" t="str">
        <x:v>2024</x:v>
      </x:c>
      <x:c r="D4" s="12" t="str">
        <x:v>Coventry-Warwick demand pool 41,835; 25,590 PBSA beds; SBR 1.62:1 vs 2.12:1 observed national average</x:v>
      </x:c>
      <x:c r="E4" s="12" t="str">
        <x:v>Market snapshot; conditions can change</x:v>
      </x:c>
      <x:c r="F4" s="12" t="str">
        <x:v>https://www.coventry.gov.uk/downloads/file/44031/purpose-built-student-accommodation-market-study-2024</x:v>
      </x:c>
    </x:row>
    <x:row r="5">
      <x:c r="A5" s="12" t="str">
        <x:v>Academic</x:v>
      </x:c>
      <x:c r="B5" s="12" t="str">
        <x:v>Oladiran et al.</x:v>
      </x:c>
      <x:c r="C5" s="12" t="str">
        <x:v>2023</x:v>
      </x:c>
      <x:c r="D5" s="12" t="str">
        <x:v>Displayed tangible and intangible attributes affect UK students' online accommodation search; missing key information can reduce attractiveness</x:v>
      </x:c>
      <x:c r="E5" s="12" t="str">
        <x:v>PBSA/platform data; not a direct international-only sample</x:v>
      </x:c>
      <x:c r="F5" s="12" t="str">
        <x:v>https://doi.org/10.1108/JERER-03-2021-0019</x:v>
      </x:c>
    </x:row>
    <x:row r="6">
      <x:c r="A6" s="12" t="str">
        <x:v>Academic</x:v>
      </x:c>
      <x:c r="B6" s="12" t="str">
        <x:v>Hoolachan, Preece &amp; Moore</x:v>
      </x:c>
      <x:c r="C6" s="12" t="str">
        <x:v>2026</x:v>
      </x:c>
      <x:c r="D6" s="12" t="str">
        <x:v>Student accommodation is experienced as more than a commodity; home/emotions and diverse needs shape experience</x:v>
      </x:c>
      <x:c r="E6" s="12" t="str">
        <x:v>Scotland and qualitative sample; not Coventry-specific</x:v>
      </x:c>
      <x:c r="F6" s="12" t="str">
        <x:v>https://doi.org/10.1080/14036096.2026.2622948</x:v>
      </x:c>
    </x:row>
    <x:row r="7">
      <x:c r="A7" s="12" t="str">
        <x:v>Academic</x:v>
      </x:c>
      <x:c r="B7" s="12" t="str">
        <x:v>Hastings et al.</x:v>
      </x:c>
      <x:c r="C7" s="12" t="str">
        <x:v>2024</x:v>
      </x:c>
      <x:c r="D7" s="12" t="str">
        <x:v>Housing insecurity, unaffordability and condition are associated with international students' anxiety about studies</x:v>
      </x:c>
      <x:c r="E7" s="12" t="str">
        <x:v>Australia; supports mechanisms, not UK prevalence claims</x:v>
      </x:c>
      <x:c r="F7" s="12" t="str">
        <x:v>https://doi.org/10.1080/03057925.2023.2184199</x:v>
      </x:c>
    </x:row>
    <x:row r="8">
      <x:c r="A8" s="12" t="str">
        <x:v>Academic</x:v>
      </x:c>
      <x:c r="B8" s="12" t="str">
        <x:v>Corney et al.</x:v>
      </x:c>
      <x:c r="C8" s="12" t="str">
        <x:v>2024</x:v>
      </x:c>
      <x:c r="D8" s="12" t="str">
        <x:v>Location, safety and preferred accommodation relate to international-student wellbeing</x:v>
      </x:c>
      <x:c r="E8" s="12" t="str">
        <x:v>Australia; context transfer must be cautious</x:v>
      </x:c>
      <x:c r="F8" s="12" t="str">
        <x:v>https://doi.org/10.1186/s12889-024-18691-8</x:v>
      </x:c>
    </x:row>
    <x:row r="9">
      <x:c r="A9" s="12" t="str">
        <x:v>Academic</x:v>
      </x:c>
      <x:c r="B9" s="12" t="str">
        <x:v>Mavlanova, Benbunan-Fich &amp; Koufaris</x:v>
      </x:c>
      <x:c r="C9" s="12" t="str">
        <x:v>2012</x:v>
      </x:c>
      <x:c r="D9" s="12" t="str">
        <x:v>Verifiable signals help address information asymmetry in online commerce</x:v>
      </x:c>
      <x:c r="E9" s="12" t="str">
        <x:v>Online pharmacies; use as theory rather than housing-specific effect size</x:v>
      </x:c>
      <x:c r="F9" s="12" t="str">
        <x:v>https://doi.org/10.1016/j.im.2012.05.004</x:v>
      </x:c>
    </x:row>
    <x:row r="10">
      <x:c r="A10" s="12" t="str">
        <x:v>Academic</x:v>
      </x:c>
      <x:c r="B10" s="12" t="str">
        <x:v>Kim, Ferrin &amp; Rao</x:v>
      </x:c>
      <x:c r="C10" s="12" t="str">
        <x:v>2008</x:v>
      </x:c>
      <x:c r="D10" s="12" t="str">
        <x:v>Trust and perceived risk materially shape online purchase decision-making</x:v>
      </x:c>
      <x:c r="E10" s="12" t="str">
        <x:v>General e-commerce; mechanism-level transfer</x:v>
      </x:c>
      <x:c r="F10" s="12" t="str">
        <x:v>https://doi.org/10.1016/j.dss.2007.07.001</x:v>
      </x:c>
    </x:row>
    <x:row r="11">
      <x:c r="A11" s="12" t="str">
        <x:v>Academic</x:v>
      </x:c>
      <x:c r="B11" s="12" t="str">
        <x:v>Rochet &amp; Tirole</x:v>
      </x:c>
      <x:c r="C11" s="12" t="str">
        <x:v>2003</x:v>
      </x:c>
      <x:c r="D11" s="12" t="str">
        <x:v>Two-sided platforms must attract both sides and design price structure accordingly</x:v>
      </x:c>
      <x:c r="E11" s="12" t="str">
        <x:v>Foundational theory; FairNest is at pre-scale pilot stage</x:v>
      </x:c>
      <x:c r="F11" s="12" t="str">
        <x:v>https://doi.org/10.1162/154247603322493212</x:v>
      </x:c>
    </x:row>
    <x:row r="12">
      <x:c r="A12" s="12" t="str">
        <x:v>Market</x:v>
      </x:c>
      <x:c r="B12" s="12" t="str">
        <x:v>Cushman &amp; Wakefield</x:v>
      </x:c>
      <x:c r="C12" s="12" t="str">
        <x:v>2025</x:v>
      </x:c>
      <x:c r="D12" s="12" t="str">
        <x:v>17% of beds above maximum maintenance loan; private 24.4%; market affected by international-student volatility</x:v>
      </x:c>
      <x:c r="E12" s="12" t="str">
        <x:v>Commercial market report; triangulation, not neutral official statistics</x:v>
      </x:c>
      <x:c r="F12" s="12" t="str">
        <x:v>https://www.cushmanwakefield.com/en/united-kingdom/insights/uk-student-accommodation-report</x:v>
      </x:c>
    </x:row>
    <x:row r="13">
      <x:c r="A13" s="12" t="str">
        <x:v>Market</x:v>
      </x:c>
      <x:c r="B13" s="12" t="str">
        <x:v>Knight Frank</x:v>
      </x:c>
      <x:c r="C13" s="12" t="str">
        <x:v>2026</x:v>
      </x:c>
      <x:c r="D13" s="12" t="str">
        <x:v>£4.3bn PBSA investment in 2025; 50,250 beds under construction, including 3,600 in Coventry</x:v>
      </x:c>
      <x:c r="E13" s="12" t="str">
        <x:v>Investment lens; not direct student preference evidence</x:v>
      </x:c>
      <x:c r="F13" s="12" t="str">
        <x:v>https://www.knightfrank.co.uk/research/article/2026/2/investors-committed-4.3-billion-to-the-pbsa-market-in-2025-up-10-year-on-year</x:v>
      </x:c>
    </x:row>
    <x:row r="14">
      <x:c r="A14" s="12" t="str">
        <x:v>Guidance</x:v>
      </x:c>
      <x:c r="B14" s="12" t="str">
        <x:v>UKCISA</x:v>
      </x:c>
      <x:c r="C14" s="12" t="str">
        <x:v>2026</x:v>
      </x:c>
      <x:c r="D14" s="12" t="str">
        <x:v>Multiple accommodation types, guarantor/payment issues and rental-fraud risks affect international students</x:v>
      </x:c>
      <x:c r="E14" s="12" t="str">
        <x:v>Guidance rather than causal study</x:v>
      </x:c>
      <x:c r="F14" s="12" t="str">
        <x:v>https://www.ukcisa.org.uk/student-advice/life-in-the-uk/accommodation/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48" hidden="0" customWidth="1"/>
    <x:col min="4" max="4" width="42" hidden="0" customWidth="1"/>
    <x:col min="5" max="5" width="48" hidden="0" customWidth="1"/>
    <x:col min="6" max="6" width="14" hidden="0" customWidth="1"/>
  </x:cols>
  <x:sheetData>
    <x:row r="1">
      <x:c r="A1" s="52" t="str">
        <x:v>FairNest UK — Research and Development Log</x:v>
      </x:c>
      <x:c r="B1" s="52"/>
      <x:c r="C1" s="52"/>
      <x:c r="D1" s="52"/>
      <x:c r="E1" s="52"/>
      <x:c r="F1" s="52"/>
      <x:c r="G1" s="53"/>
      <x:c r="H1" s="53"/>
      <x:c r="I1" s="53"/>
    </x:row>
    <x:row r="2">
      <x:c r="A2" s="52"/>
      <x:c r="B2" s="52"/>
      <x:c r="C2" s="52"/>
      <x:c r="D2" s="52"/>
      <x:c r="E2" s="52"/>
      <x:c r="F2" s="52"/>
      <x:c r="G2" s="53"/>
      <x:c r="H2" s="53"/>
      <x:c r="I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</x:row>
    <x:row r="4">
      <x:c r="A4" s="54" t="str">
        <x:v>Date</x:v>
      </x:c>
      <x:c r="B4" s="54" t="str">
        <x:v>Stage</x:v>
      </x:c>
      <x:c r="C4" s="54" t="str">
        <x:v>Work completed</x:v>
      </x:c>
      <x:c r="D4" s="54" t="str">
        <x:v>Evidence/output</x:v>
      </x:c>
      <x:c r="E4" s="54" t="str">
        <x:v>Critical decision</x:v>
      </x:c>
      <x:c r="F4" s="54" t="str">
        <x:v>Status</x:v>
      </x:c>
      <x:c r="G4" s="53"/>
      <x:c r="H4" s="53"/>
      <x:c r="I4" s="53"/>
    </x:row>
    <x:row r="5">
      <x:c r="A5" s="55" t="str">
        <x:v>2026-09-15</x:v>
      </x:c>
      <x:c r="B5" s="55" t="str">
        <x:v>Proposal framing</x:v>
      </x:c>
      <x:c r="C5" s="55" t="str">
        <x:v>Confirmed the FairNest problem as an accommodation decision-quality issue and retained a secondary-research-only design.</x:v>
      </x:c>
      <x:c r="D5" s="55" t="str">
        <x:v>Research aim, four research questions and Coventry pilot scope.</x:v>
      </x:c>
      <x:c r="E5" s="55" t="str">
        <x:v>Avoid claiming that the market lacks listing platforms; focus on comparability, trust and cost interpretation.</x:v>
      </x:c>
      <x:c r="F5" s="55" t="str">
        <x:v>Complete</x:v>
      </x:c>
      <x:c r="G5" s="53"/>
      <x:c r="H5" s="53"/>
      <x:c r="I5" s="53"/>
    </x:row>
    <x:row r="6">
      <x:c r="A6" s="55" t="str">
        <x:v>2026-09-16</x:v>
      </x:c>
      <x:c r="B6" s="55" t="str">
        <x:v>Evidence collection</x:v>
      </x:c>
      <x:c r="C6" s="55" t="str">
        <x:v>Checked current Coventry University fees/payment terms, selected PBSA examples, competitor features and core public sources.</x:v>
      </x:c>
      <x:c r="D6" s="55" t="str">
        <x:v>Coventry listing extract; competitor audit; source URLs and check dates.</x:v>
      </x:c>
      <x:c r="E6" s="55" t="str">
        <x:v>Separate weekly rent, contract total and known booking cash.</x:v>
      </x:c>
      <x:c r="F6" s="55" t="str">
        <x:v>Complete</x:v>
      </x:c>
      <x:c r="G6" s="53"/>
      <x:c r="H6" s="53"/>
      <x:c r="I6" s="53"/>
    </x:row>
    <x:row r="7">
      <x:c r="A7" s="55" t="str">
        <x:v>2026-09-18</x:v>
      </x:c>
      <x:c r="B7" s="55" t="str">
        <x:v>Model and governance audit</x:v>
      </x:c>
      <x:c r="C7" s="55" t="str">
        <x:v>Reconciled financial assumptions, regulatory controls and evidence-completeness logic.</x:v>
      </x:c>
      <x:c r="D7" s="55" t="str">
        <x:v>Scenario model; legal/governance rules; evidence register.</x:v>
      </x:c>
      <x:c r="E7" s="55" t="str">
        <x:v>Treat commercial prices as managerial assumptions rather than observed willingness to pay.</x:v>
      </x:c>
      <x:c r="F7" s="55" t="str">
        <x:v>Complete</x:v>
      </x:c>
      <x:c r="G7" s="53"/>
      <x:c r="H7" s="53"/>
      <x:c r="I7" s="53"/>
    </x:row>
    <x:row r="8">
      <x:c r="A8" s="55" t="str">
        <x:v>2026-09-25</x:v>
      </x:c>
      <x:c r="B8" s="55" t="str">
        <x:v>Report integration</x:v>
      </x:c>
      <x:c r="C8" s="55" t="str">
        <x:v>Integrated market, literature, business model, operations, financial feasibility, artefact logic and limitations.</x:v>
      </x:c>
      <x:c r="D8" s="55" t="str">
        <x:v>Full Route 3 business plan and artefact traceability.</x:v>
      </x:c>
      <x:c r="E8" s="55" t="str">
        <x:v>Conclude conditional pilot feasibility rather than force a positive profitability result.</x:v>
      </x:c>
      <x:c r="F8" s="55" t="str">
        <x:v>Complete</x:v>
      </x:c>
      <x:c r="G8" s="53"/>
      <x:c r="H8" s="53"/>
      <x:c r="I8" s="53"/>
    </x:row>
    <x:row r="9">
      <x:c r="A9" s="55" t="str">
        <x:v>2026-10-14</x:v>
      </x:c>
      <x:c r="B9" s="55" t="str">
        <x:v>Supervisor feedback revision</x:v>
      </x:c>
      <x:c r="C9" s="55" t="str">
        <x:v>Revised table/figure source presentation, strengthened literature synthesis and clarified financial logic where highlighted.</x:v>
      </x:c>
      <x:c r="D9" s="55" t="str">
        <x:v>Supervisor-feedback revised report.</x:v>
      </x:c>
      <x:c r="E9" s="55" t="str">
        <x:v>Keep unmarked content stable; edit only the requested areas.</x:v>
      </x:c>
      <x:c r="F9" s="55" t="str">
        <x:v>Complete</x:v>
      </x:c>
      <x:c r="G9" s="53"/>
      <x:c r="H9" s="53"/>
      <x:c r="I9" s="53"/>
    </x:row>
    <x:row r="10">
      <x:c r="A10" s="55" t="str">
        <x:v>2026-10-25</x:v>
      </x:c>
      <x:c r="B10" s="55" t="str">
        <x:v>Repository and reproducibility QA</x:v>
      </x:c>
      <x:c r="C10" s="55" t="str">
        <x:v>Built a public evidence repository structure, rechecked current official claims and documented the research trail.</x:v>
      </x:c>
      <x:c r="D10" s="55" t="str">
        <x:v>Research log, source register, literature matrix, rubric map and artefact test record.</x:v>
      </x:c>
      <x:c r="E10" s="55" t="str">
        <x:v>Make the evidence chain auditable without presenting the prototype as nationally validated.</x:v>
      </x:c>
      <x:c r="F10" s="55" t="str">
        <x:v>Complete</x:v>
      </x:c>
      <x:c r="G10" s="53"/>
      <x:c r="H10" s="53"/>
      <x:c r="I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</x:row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10" hidden="0" customWidth="1"/>
    <x:col min="4" max="4" width="22" hidden="0" customWidth="1"/>
    <x:col min="5" max="5" width="26" hidden="0" customWidth="1"/>
    <x:col min="6" max="6" width="50" hidden="0" customWidth="1"/>
    <x:col min="7" max="7" width="44" hidden="0" customWidth="1"/>
    <x:col min="8" max="8" width="58" hidden="0" customWidth="1"/>
    <x:col min="9" max="9" width="14" hidden="0" customWidth="1"/>
  </x:cols>
  <x:sheetData>
    <x:row r="1">
      <x:c r="A1" s="52" t="str">
        <x:v>FairNest UK — Master Source Register</x:v>
      </x:c>
      <x:c r="B1" s="52"/>
      <x:c r="C1" s="52"/>
      <x:c r="D1" s="52"/>
      <x:c r="E1" s="52"/>
      <x:c r="F1" s="52"/>
      <x:c r="G1" s="52"/>
      <x:c r="H1" s="52"/>
      <x:c r="I1" s="52"/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</x:row>
    <x:row r="4">
      <x:c r="A4" s="54" t="str">
        <x:v>ID</x:v>
      </x:c>
      <x:c r="B4" s="54" t="str">
        <x:v>Source</x:v>
      </x:c>
      <x:c r="C4" s="54" t="str">
        <x:v>Year</x:v>
      </x:c>
      <x:c r="D4" s="54" t="str">
        <x:v>Type</x:v>
      </x:c>
      <x:c r="E4" s="54" t="str">
        <x:v>Evidence role</x:v>
      </x:c>
      <x:c r="F4" s="54" t="str">
        <x:v>Key claim/data used</x:v>
      </x:c>
      <x:c r="G4" s="54" t="str">
        <x:v>Critical limitation</x:v>
      </x:c>
      <x:c r="H4" s="54" t="str">
        <x:v>URL / DOI</x:v>
      </x:c>
      <x:c r="I4" s="54" t="str">
        <x:v>Status</x:v>
      </x:c>
    </x:row>
    <x:row r="5">
      <x:c r="A5" s="55" t="str">
        <x:v>S01</x:v>
      </x:c>
      <x:c r="B5" s="55" t="str">
        <x:v>HESA</x:v>
      </x:c>
      <x:c r="C5" s="55" t="str">
        <x:v>2026</x:v>
      </x:c>
      <x:c r="D5" s="55" t="str">
        <x:v>Official statistics</x:v>
      </x:c>
      <x:c r="E5" s="55" t="str">
        <x:v>Market context</x:v>
      </x:c>
      <x:c r="F5" s="55" t="str">
        <x:v>2,863,180 UK HE students in 2024/25; international enrolment -6%; international PGT entrants -10%.</x:v>
      </x:c>
      <x:c r="G5" s="55" t="str">
        <x:v>Sector-wide; not accommodation-specific.</x:v>
      </x:c>
      <x:c r="H5" s="55" t="str">
        <x:v>https://www.hesa.ac.uk/news/27-01-2026/uk-he-student-numbers-fall-second-year-in-a-row</x:v>
      </x:c>
      <x:c r="I5" s="55" t="str">
        <x:v>Included</x:v>
      </x:c>
    </x:row>
    <x:row r="6">
      <x:c r="A6" s="55" t="str">
        <x:v>S02</x:v>
      </x:c>
      <x:c r="B6" s="55" t="str">
        <x:v>Office for Students</x:v>
      </x:c>
      <x:c r="C6" s="55" t="str">
        <x:v>2026</x:v>
      </x:c>
      <x:c r="D6" s="55" t="str">
        <x:v>Regulator research</x:v>
      </x:c>
      <x:c r="E6" s="55" t="str">
        <x:v>Customer/affordability context</x:v>
      </x:c>
      <x:c r="F6" s="55" t="str">
        <x:v>69% said accommodation cost strongly influenced institution choice; 15% reported difficulty covering cost; West Midlands 54% good value.</x:v>
      </x:c>
      <x:c r="G6" s="55" t="str">
        <x:v>First-year students in England; not an international-postgraduate-only sample.</x:v>
      </x:c>
      <x:c r="H6" s="55" t="str">
        <x:v>https://www.officeforstudents.org.uk/news-blog-and-events/press-and-media/ofs-research-finds-over-eight-in-ten-students-are-satisfied-with-their-accommodation/</x:v>
      </x:c>
      <x:c r="I6" s="55" t="str">
        <x:v>Included</x:v>
      </x:c>
    </x:row>
    <x:row r="7">
      <x:c r="A7" s="55" t="str">
        <x:v>S03</x:v>
      </x:c>
      <x:c r="B7" s="55" t="str">
        <x:v>Coventry City Council / Cushman &amp; Wakefield</x:v>
      </x:c>
      <x:c r="C7" s="55" t="str">
        <x:v>2024</x:v>
      </x:c>
      <x:c r="D7" s="55" t="str">
        <x:v>Local market study</x:v>
      </x:c>
      <x:c r="E7" s="55" t="str">
        <x:v>Coventry market structure</x:v>
      </x:c>
      <x:c r="F7" s="55" t="str">
        <x:v>Demand pool 41,835; 25,590 PBSA beds; SBR 1.62:1 against 2.12:1 nationally observed reference; relative oversupply.</x:v>
      </x:c>
      <x:c r="G7" s="55" t="str">
        <x:v>2023/24 market snapshot; conditions can change.</x:v>
      </x:c>
      <x:c r="H7" s="55" t="str">
        <x:v>https://www.coventry.gov.uk/downloads/file/44031/purpose-built-student-accommodation-market-study-2024</x:v>
      </x:c>
      <x:c r="I7" s="55" t="str">
        <x:v>Included</x:v>
      </x:c>
    </x:row>
    <x:row r="8">
      <x:c r="A8" s="55" t="str">
        <x:v>S04</x:v>
      </x:c>
      <x:c r="B8" s="55" t="str">
        <x:v>Knight Frank</x:v>
      </x:c>
      <x:c r="C8" s="55" t="str">
        <x:v>2026</x:v>
      </x:c>
      <x:c r="D8" s="55" t="str">
        <x:v>Market intelligence</x:v>
      </x:c>
      <x:c r="E8" s="55" t="str">
        <x:v>Supply pipeline</x:v>
      </x:c>
      <x:c r="F8" s="55" t="str">
        <x:v>3,600 PBSA beds reported under construction in Coventry.</x:v>
      </x:c>
      <x:c r="G8" s="55" t="str">
        <x:v>Commercial investment perspective; not student preference evidence.</x:v>
      </x:c>
      <x:c r="H8" s="55" t="str">
        <x:v>https://www.knightfrank.co.uk/research/article/2026/2/investors-committed-4.3-billion-to-the-pbsa-market-in-2025-up-10-year-on-year</x:v>
      </x:c>
      <x:c r="I8" s="55" t="str">
        <x:v>Included</x:v>
      </x:c>
    </x:row>
    <x:row r="9">
      <x:c r="A9" s="55" t="str">
        <x:v>S05</x:v>
      </x:c>
      <x:c r="B9" s="55" t="str">
        <x:v>Coventry University — Accommodation Fees</x:v>
      </x:c>
      <x:c r="C9" s="55" t="str">
        <x:v>2026</x:v>
      </x:c>
      <x:c r="D9" s="55" t="str">
        <x:v>First-party provider</x:v>
      </x:c>
      <x:c r="E9" s="55" t="str">
        <x:v>Prototype listing evidence</x:v>
      </x:c>
      <x:c r="F9" s="55" t="str">
        <x:v>2026/27 postgraduate weekly and contract prices.</x:v>
      </x:c>
      <x:c r="G9" s="55" t="str">
        <x:v>Only university-managed options.</x:v>
      </x:c>
      <x:c r="H9" s="55" t="str">
        <x:v>https://www.coventry.ac.uk/life-on-campus/accommodation/applying/accommodation-fees/</x:v>
      </x:c>
      <x:c r="I9" s="55" t="str">
        <x:v>Included</x:v>
      </x:c>
    </x:row>
    <x:row r="10">
      <x:c r="A10" s="55" t="str">
        <x:v>S06</x:v>
      </x:c>
      <x:c r="B10" s="55" t="str">
        <x:v>Coventry University — Ways to Pay</x:v>
      </x:c>
      <x:c r="C10" s="55" t="str">
        <x:v>2026</x:v>
      </x:c>
      <x:c r="D10" s="55" t="str">
        <x:v>First-party provider</x:v>
      </x:c>
      <x:c r="E10" s="55" t="str">
        <x:v>Booking cash logic</x:v>
      </x:c>
      <x:c r="F10" s="55" t="str">
        <x:v>International booking payment schedule used to derive known booking cash.</x:v>
      </x:c>
      <x:c r="G10" s="55" t="str">
        <x:v>Provider-specific licence/payment structure.</x:v>
      </x:c>
      <x:c r="H10" s="55" t="str">
        <x:v>https://www.coventry.ac.uk/life-on-campus/accommodation/applying/ways-to-pay/</x:v>
      </x:c>
      <x:c r="I10" s="55" t="str">
        <x:v>Included</x:v>
      </x:c>
    </x:row>
    <x:row r="11">
      <x:c r="A11" s="55" t="str">
        <x:v>S07</x:v>
      </x:c>
      <x:c r="B11" s="55" t="str">
        <x:v>iQ Student Accommodation — Weaver Place</x:v>
      </x:c>
      <x:c r="C11" s="55" t="str">
        <x:v>2026</x:v>
      </x:c>
      <x:c r="D11" s="55" t="str">
        <x:v>First-party provider</x:v>
      </x:c>
      <x:c r="E11" s="55" t="str">
        <x:v>Prototype PBSA example</x:v>
      </x:c>
      <x:c r="F11" s="55" t="str">
        <x:v>Published room price, contract length, bills and £125 booking fee.</x:v>
      </x:c>
      <x:c r="G11" s="55" t="str">
        <x:v>Booking fee is not the full eventual pre-arrival liability.</x:v>
      </x:c>
      <x:c r="H11" s="55" t="str">
        <x:v>https://www.iqstudentaccommodation.com/coventry/weaver-place/bronze-en-suite-plus</x:v>
      </x:c>
      <x:c r="I11" s="55" t="str">
        <x:v>Included</x:v>
      </x:c>
    </x:row>
    <x:row r="12">
      <x:c r="A12" s="55" t="str">
        <x:v>S08</x:v>
      </x:c>
      <x:c r="B12" s="55" t="str">
        <x:v>Student.com</x:v>
      </x:c>
      <x:c r="C12" s="55" t="str">
        <x:v>2026</x:v>
      </x:c>
      <x:c r="D12" s="55" t="str">
        <x:v>Competitor platform</x:v>
      </x:c>
      <x:c r="E12" s="55" t="str">
        <x:v>Competitor audit</x:v>
      </x:c>
      <x:c r="F12" s="55" t="str">
        <x:v>Existing comparison already covers price, transit, facilities, bills and room attributes.</x:v>
      </x:c>
      <x:c r="G12" s="55" t="str">
        <x:v>Dynamic platform; reviewed features may change.</x:v>
      </x:c>
      <x:c r="H12" s="55" t="str">
        <x:v>https://www.student.com/compare</x:v>
      </x:c>
      <x:c r="I12" s="55" t="str">
        <x:v>Included</x:v>
      </x:c>
    </x:row>
    <x:row r="13">
      <x:c r="A13" s="55" t="str">
        <x:v>S09</x:v>
      </x:c>
      <x:c r="B13" s="55" t="str">
        <x:v>University Living</x:v>
      </x:c>
      <x:c r="C13" s="55" t="str">
        <x:v>2026</x:v>
      </x:c>
      <x:c r="D13" s="55" t="str">
        <x:v>Competitor platform</x:v>
      </x:c>
      <x:c r="E13" s="55" t="str">
        <x:v>Competitor audit</x:v>
      </x:c>
      <x:c r="F13" s="55" t="str">
        <x:v>Coventry search/filter inventory and booking-policy information.</x:v>
      </x:c>
      <x:c r="G13" s="55" t="str">
        <x:v>'From' prices can lack room/contract specificity at city-result level.</x:v>
      </x:c>
      <x:c r="H13" s="55" t="str">
        <x:v>https://www.universityliving.com/united-kingdom/city/coventry</x:v>
      </x:c>
      <x:c r="I13" s="55" t="str">
        <x:v>Included</x:v>
      </x:c>
    </x:row>
    <x:row r="14">
      <x:c r="A14" s="55" t="str">
        <x:v>S10</x:v>
      </x:c>
      <x:c r="B14" s="55" t="str">
        <x:v>Rightmove</x:v>
      </x:c>
      <x:c r="C14" s="55" t="str">
        <x:v>2026</x:v>
      </x:c>
      <x:c r="D14" s="55" t="str">
        <x:v>Competitor/guidance</x:v>
      </x:c>
      <x:c r="E14" s="55" t="str">
        <x:v>Competitor audit</x:v>
      </x:c>
      <x:c r="F14" s="55" t="str">
        <x:v>International-student rental guidance exists alongside property search.</x:v>
      </x:c>
      <x:c r="G14" s="55" t="str">
        <x:v>Guidance and property-level comparison remain separate tasks.</x:v>
      </x:c>
      <x:c r="H14" s="55" t="str">
        <x:v>https://www.rightmove.co.uk/guides/renter/student-property/international-students/</x:v>
      </x:c>
      <x:c r="I14" s="55" t="str">
        <x:v>Included</x:v>
      </x:c>
    </x:row>
    <x:row r="15">
      <x:c r="A15" s="55" t="str">
        <x:v>S11</x:v>
      </x:c>
      <x:c r="B15" s="55" t="str">
        <x:v>Student SpareRoom</x:v>
      </x:c>
      <x:c r="C15" s="55" t="str">
        <x:v>2026</x:v>
      </x:c>
      <x:c r="D15" s="55" t="str">
        <x:v>Competitor/guidance</x:v>
      </x:c>
      <x:c r="E15" s="55" t="str">
        <x:v>Trust comparison</x:v>
      </x:c>
      <x:c r="F15" s="55" t="str">
        <x:v>Safety guidance and anti-scam controls; not every advertiser is reference checked.</x:v>
      </x:c>
      <x:c r="G15" s="55" t="str">
        <x:v>Classified-marketplace model differs from PBSA marketplaces.</x:v>
      </x:c>
      <x:c r="H15" s="55" t="str">
        <x:v>https://student.spareroom.co.uk/content/student-advice/safety-tips-student/</x:v>
      </x:c>
      <x:c r="I15" s="55" t="str">
        <x:v>Included</x:v>
      </x:c>
    </x:row>
    <x:row r="16">
      <x:c r="A16" s="55" t="str">
        <x:v>S12</x:v>
      </x:c>
      <x:c r="B16" s="55" t="str">
        <x:v>UCAS</x:v>
      </x:c>
      <x:c r="C16" s="55" t="str">
        <x:v>2026</x:v>
      </x:c>
      <x:c r="D16" s="55" t="str">
        <x:v>Student guidance</x:v>
      </x:c>
      <x:c r="E16" s="55" t="str">
        <x:v>Budgeting benchmark</x:v>
      </x:c>
      <x:c r="F16" s="55" t="str">
        <x:v>Budget calculator demonstrates demand for budgeting support.</x:v>
      </x:c>
      <x:c r="G16" s="55" t="str">
        <x:v>Broad living-cost tool, not property-level decision support.</x:v>
      </x:c>
      <x:c r="H16" s="55" t="str">
        <x:v>https://www.ucas.com/money-and-student-life/money/budgeting/budget-calculator</x:v>
      </x:c>
      <x:c r="I16" s="55" t="str">
        <x:v>Included</x:v>
      </x:c>
    </x:row>
    <x:row r="17">
      <x:c r="A17" s="55" t="str">
        <x:v>S13</x:v>
      </x:c>
      <x:c r="B17" s="55" t="str">
        <x:v>UKCISA</x:v>
      </x:c>
      <x:c r="C17" s="55" t="str">
        <x:v>2026</x:v>
      </x:c>
      <x:c r="D17" s="55" t="str">
        <x:v>Specialist guidance</x:v>
      </x:c>
      <x:c r="E17" s="55" t="str">
        <x:v>International-student context</x:v>
      </x:c>
      <x:c r="F17" s="55" t="str">
        <x:v>Accommodation types, guarantor/payment questions and fraud awareness.</x:v>
      </x:c>
      <x:c r="G17" s="55" t="str">
        <x:v>Guidance source rather than causal empirical study.</x:v>
      </x:c>
      <x:c r="H17" s="55" t="str">
        <x:v>https://www.ukcisa.org.uk/student-advice/life-in-the-uk/accommodation/</x:v>
      </x:c>
      <x:c r="I17" s="55" t="str">
        <x:v>Included</x:v>
      </x:c>
    </x:row>
    <x:row r="18">
      <x:c r="A18" s="55" t="str">
        <x:v>S14</x:v>
      </x:c>
      <x:c r="B18" s="55" t="str">
        <x:v>MHCLG — Renters' Rights overview</x:v>
      </x:c>
      <x:c r="C18" s="55" t="str">
        <x:v>2026</x:v>
      </x:c>
      <x:c r="D18" s="55" t="str">
        <x:v>Government regulation</x:v>
      </x:c>
      <x:c r="E18" s="55" t="str">
        <x:v>Contract/legal layer</x:v>
      </x:c>
      <x:c r="F18" s="55" t="str">
        <x:v>From 1 May 2026 most private assured tenancies are assured periodic; different rules apply to student halls.</x:v>
      </x:c>
      <x:c r="G18" s="55" t="str">
        <x:v>Must classify accommodation context before applying rules.</x:v>
      </x:c>
      <x:c r="H18" s="55" t="str">
        <x:v>https://www.gov.uk/guidance/renters-rights-act-overview-for-tenants</x:v>
      </x:c>
      <x:c r="I18" s="55" t="str">
        <x:v>Included</x:v>
      </x:c>
    </x:row>
    <x:row r="19">
      <x:c r="A19" s="55" t="str">
        <x:v>S15</x:v>
      </x:c>
      <x:c r="B19" s="55" t="str">
        <x:v>MHCLG — Fees you can charge</x:v>
      </x:c>
      <x:c r="C19" s="55" t="str">
        <x:v>2026</x:v>
      </x:c>
      <x:c r="D19" s="55" t="str">
        <x:v>Government regulation</x:v>
      </x:c>
      <x:c r="E19" s="55" t="str">
        <x:v>Deposit/payment controls</x:v>
      </x:c>
      <x:c r="F19" s="55" t="str">
        <x:v>Private-tenancy payment and deposit rules; one-month rent in advance after signing where applicable.</x:v>
      </x:c>
      <x:c r="G19" s="55" t="str">
        <x:v>Not automatically applicable to halls/PBSA licence arrangements.</x:v>
      </x:c>
      <x:c r="H19" s="55" t="str">
        <x:v>https://www.gov.uk/guidance/fees-you-can-charge-as-part-of-a-tenancy</x:v>
      </x:c>
      <x:c r="I19" s="55" t="str">
        <x:v>Included</x:v>
      </x:c>
    </x:row>
    <x:row r="20">
      <x:c r="A20" s="55" t="str">
        <x:v>S16</x:v>
      </x:c>
      <x:c r="B20" s="55" t="str">
        <x:v>ICO — Lawful basis</x:v>
      </x:c>
      <x:c r="C20" s="55" t="str">
        <x:v>2026</x:v>
      </x:c>
      <x:c r="D20" s="55" t="str">
        <x:v>Regulator guidance</x:v>
      </x:c>
      <x:c r="E20" s="55" t="str">
        <x:v>Data governance</x:v>
      </x:c>
      <x:c r="F20" s="55" t="str">
        <x:v>A lawful basis must be identified before personal data processing.</x:v>
      </x:c>
      <x:c r="G20" s="55" t="str">
        <x:v>Live implementation would require formal records and privacy notices.</x:v>
      </x:c>
      <x:c r="H20" s="55" t="str">
        <x:v>https://ico.org.uk/for-organisations/uk-gdpr-guidance-and-resources/lawful-basis/a-guide-to-lawful-basis/</x:v>
      </x:c>
      <x:c r="I20" s="55" t="str">
        <x:v>Included</x:v>
      </x:c>
    </x:row>
    <x:row r="21">
      <x:c r="A21" s="55" t="str">
        <x:v>S17</x:v>
      </x:c>
      <x:c r="B21" s="55" t="str">
        <x:v>ICO — Data minimisation</x:v>
      </x:c>
      <x:c r="C21" s="55" t="str">
        <x:v>2026</x:v>
      </x:c>
      <x:c r="D21" s="55" t="str">
        <x:v>Regulator guidance</x:v>
      </x:c>
      <x:c r="E21" s="55" t="str">
        <x:v>Data governance</x:v>
      </x:c>
      <x:c r="F21" s="55" t="str">
        <x:v>Collect only data that are adequate, relevant and necessary.</x:v>
      </x:c>
      <x:c r="G21" s="55" t="str">
        <x:v>Does not by itself resolve every platform-governance risk.</x:v>
      </x:c>
      <x:c r="H21" s="55" t="str">
        <x:v>https://ico.org.uk/for-organisations/uk-gdpr-guidance-and-resources/data-protection-principles/a-guide-to-the-data-protection-principles/data-minimisation/</x:v>
      </x:c>
      <x:c r="I21" s="55" t="str">
        <x:v>Included</x:v>
      </x:c>
    </x:row>
    <x:row r="22">
      <x:c r="A22" s="55" t="str">
        <x:v>S18</x:v>
      </x:c>
      <x:c r="B22" s="55" t="str">
        <x:v>Oladiran et al.</x:v>
      </x:c>
      <x:c r="C22" s="55" t="str">
        <x:v>2023</x:v>
      </x:c>
      <x:c r="D22" s="55" t="str">
        <x:v>Peer-reviewed article</x:v>
      </x:c>
      <x:c r="E22" s="55" t="str">
        <x:v>Accommodation search</x:v>
      </x:c>
      <x:c r="F22" s="55" t="str">
        <x:v>Displayed tangible/intangible attributes affect UK student online accommodation attractiveness.</x:v>
      </x:c>
      <x:c r="G22" s="55" t="str">
        <x:v>PBSA/search context; not an international-only sample.</x:v>
      </x:c>
      <x:c r="H22" s="55" t="str">
        <x:v>https://doi.org/10.1108/JERER-03-2021-0019</x:v>
      </x:c>
      <x:c r="I22" s="55" t="str">
        <x:v>Included</x:v>
      </x:c>
    </x:row>
    <x:row r="23">
      <x:c r="A23" s="55" t="str">
        <x:v>S19</x:v>
      </x:c>
      <x:c r="B23" s="55" t="str">
        <x:v>Kallin</x:v>
      </x:c>
      <x:c r="C23" s="55" t="str">
        <x:v>2024</x:v>
      </x:c>
      <x:c r="D23" s="55" t="str">
        <x:v>Peer-reviewed article</x:v>
      </x:c>
      <x:c r="E23" s="55" t="str">
        <x:v>Affordability debate</x:v>
      </x:c>
      <x:c r="F23" s="55" t="str">
        <x:v>Questions whether more PBSA resolves housing precarity where affordability is the binding constraint.</x:v>
      </x:c>
      <x:c r="G23" s="55" t="str">
        <x:v>Edinburgh qualitative context; not Coventry prevalence evidence.</x:v>
      </x:c>
      <x:c r="H23" s="55" t="str">
        <x:v>https://doi.org/10.1080/14702541.2024.2372623</x:v>
      </x:c>
      <x:c r="I23" s="55" t="str">
        <x:v>Included</x:v>
      </x:c>
    </x:row>
    <x:row r="24">
      <x:c r="A24" s="55" t="str">
        <x:v>S20</x:v>
      </x:c>
      <x:c r="B24" s="55" t="str">
        <x:v>Hunter &amp; Makin</x:v>
      </x:c>
      <x:c r="C24" s="55" t="str">
        <x:v>2025</x:v>
      </x:c>
      <x:c r="D24" s="55" t="str">
        <x:v>Peer-reviewed article</x:v>
      </x:c>
      <x:c r="E24" s="55" t="str">
        <x:v>PBSA/planning debate</x:v>
      </x:c>
      <x:c r="F24" s="55" t="str">
        <x:v>Shows PBSA expansion is shaped by planning law and constructions of studenthood.</x:v>
      </x:c>
      <x:c r="G24" s="55" t="str">
        <x:v>Legal/planning focus rather than platform evaluation.</x:v>
      </x:c>
      <x:c r="H24" s="55" t="str">
        <x:v>https://doi.org/10.1080/09649069.2025.2569180</x:v>
      </x:c>
      <x:c r="I24" s="55" t="str">
        <x:v>Included</x:v>
      </x:c>
    </x:row>
    <x:row r="25">
      <x:c r="A25" s="55" t="str">
        <x:v>S21</x:v>
      </x:c>
      <x:c r="B25" s="55" t="str">
        <x:v>Hubbard &amp; Morris</x:v>
      </x:c>
      <x:c r="C25" s="55" t="str">
        <x:v>2026</x:v>
      </x:c>
      <x:c r="D25" s="55" t="str">
        <x:v>Peer-reviewed article</x:v>
      </x:c>
      <x:c r="E25" s="55" t="str">
        <x:v>Regulation/student housing</x:v>
      </x:c>
      <x:c r="F25" s="55" t="str">
        <x:v>Explores regulation of student accommodation in England and Wales.</x:v>
      </x:c>
      <x:c r="G25" s="55" t="str">
        <x:v>Broader housing-policy context; not a platform study.</x:v>
      </x:c>
      <x:c r="H25" s="55" t="str">
        <x:v>https://doi.org/10.1080/02723638.2026.2623129</x:v>
      </x:c>
      <x:c r="I25" s="55" t="str">
        <x:v>Included</x:v>
      </x:c>
    </x:row>
    <x:row r="26">
      <x:c r="A26" s="55" t="str">
        <x:v>S22</x:v>
      </x:c>
      <x:c r="B26" s="55" t="str">
        <x:v>Hoolachan, Preece &amp; Moore</x:v>
      </x:c>
      <x:c r="C26" s="55" t="str">
        <x:v>2026</x:v>
      </x:c>
      <x:c r="D26" s="55" t="str">
        <x:v>Peer-reviewed article</x:v>
      </x:c>
      <x:c r="E26" s="55" t="str">
        <x:v>Student experience</x:v>
      </x:c>
      <x:c r="F26" s="55" t="str">
        <x:v>Accommodation is experienced as home and shaped by shared living, material environment and inclusion.</x:v>
      </x:c>
      <x:c r="G26" s="55" t="str">
        <x:v>Scottish qualitative sample; transfer cautiously.</x:v>
      </x:c>
      <x:c r="H26" s="55" t="str">
        <x:v>https://doi.org/10.1080/14036096.2026.2622948</x:v>
      </x:c>
      <x:c r="I26" s="55" t="str">
        <x:v>Included</x:v>
      </x:c>
    </x:row>
    <x:row r="27">
      <x:c r="A27" s="55" t="str">
        <x:v>S23</x:v>
      </x:c>
      <x:c r="B27" s="55" t="str">
        <x:v>Corney et al.</x:v>
      </x:c>
      <x:c r="C27" s="55" t="str">
        <x:v>2024</x:v>
      </x:c>
      <x:c r="D27" s="55" t="str">
        <x:v>Peer-reviewed article</x:v>
      </x:c>
      <x:c r="E27" s="55" t="str">
        <x:v>International-student wellbeing</x:v>
      </x:c>
      <x:c r="F27" s="55" t="str">
        <x:v>Location, safety and accommodation experience relate to wellbeing/help-seeking.</x:v>
      </x:c>
      <x:c r="G27" s="55" t="str">
        <x:v>Australian context; mechanism evidence only.</x:v>
      </x:c>
      <x:c r="H27" s="55" t="str">
        <x:v>https://doi.org/10.1186/s12889-024-18691-8</x:v>
      </x:c>
      <x:c r="I27" s="55" t="str">
        <x:v>Included</x:v>
      </x:c>
    </x:row>
    <x:row r="28">
      <x:c r="A28" s="55" t="str">
        <x:v>S24</x:v>
      </x:c>
      <x:c r="B28" s="55" t="str">
        <x:v>Hastings et al.</x:v>
      </x:c>
      <x:c r="C28" s="55" t="str">
        <x:v>2024</x:v>
      </x:c>
      <x:c r="D28" s="55" t="str">
        <x:v>Peer-reviewed article</x:v>
      </x:c>
      <x:c r="E28" s="55" t="str">
        <x:v>International-student precarity</x:v>
      </x:c>
      <x:c r="F28" s="55" t="str">
        <x:v>Housing precarity and affordability can affect academic experience/performance.</x:v>
      </x:c>
      <x:c r="G28" s="55" t="str">
        <x:v>Australian context; not UK prevalence evidence.</x:v>
      </x:c>
      <x:c r="H28" s="55" t="str">
        <x:v>https://doi.org/10.1080/03057925.2023.2184199</x:v>
      </x:c>
      <x:c r="I28" s="55" t="str">
        <x:v>Included</x:v>
      </x:c>
    </x:row>
    <x:row r="29">
      <x:c r="A29" s="55" t="str">
        <x:v>S25</x:v>
      </x:c>
      <x:c r="B29" s="55" t="str">
        <x:v>Mavlanova, Benbunan-Fich &amp; Koufaris</x:v>
      </x:c>
      <x:c r="C29" s="55" t="str">
        <x:v>2012</x:v>
      </x:c>
      <x:c r="D29" s="55" t="str">
        <x:v>Peer-reviewed article</x:v>
      </x:c>
      <x:c r="E29" s="55" t="str">
        <x:v>Information asymmetry</x:v>
      </x:c>
      <x:c r="F29" s="55" t="str">
        <x:v>Verifiable online signals can help reduce uncertainty.</x:v>
      </x:c>
      <x:c r="G29" s="55" t="str">
        <x:v>Online pharmacy context; theoretical transfer only.</x:v>
      </x:c>
      <x:c r="H29" s="55" t="str">
        <x:v>https://doi.org/10.1016/j.im.2012.05.004</x:v>
      </x:c>
      <x:c r="I29" s="55" t="str">
        <x:v>Included</x:v>
      </x:c>
    </x:row>
    <x:row r="30">
      <x:c r="A30" s="55" t="str">
        <x:v>S26</x:v>
      </x:c>
      <x:c r="B30" s="55" t="str">
        <x:v>Kim, Ferrin &amp; Rao</x:v>
      </x:c>
      <x:c r="C30" s="55" t="str">
        <x:v>2008</x:v>
      </x:c>
      <x:c r="D30" s="55" t="str">
        <x:v>Peer-reviewed article</x:v>
      </x:c>
      <x:c r="E30" s="55" t="str">
        <x:v>Trust/risk theory</x:v>
      </x:c>
      <x:c r="F30" s="55" t="str">
        <x:v>Trust and perceived risk influence online purchasing decisions.</x:v>
      </x:c>
      <x:c r="G30" s="55" t="str">
        <x:v>General e-commerce; not accommodation-specific.</x:v>
      </x:c>
      <x:c r="H30" s="55" t="str">
        <x:v>https://doi.org/10.1016/j.dss.2007.07.001</x:v>
      </x:c>
      <x:c r="I30" s="55" t="str">
        <x:v>Included</x:v>
      </x:c>
    </x:row>
    <x:row r="31">
      <x:c r="A31" s="55" t="str">
        <x:v>S27</x:v>
      </x:c>
      <x:c r="B31" s="55" t="str">
        <x:v>Rochet &amp; Tirole</x:v>
      </x:c>
      <x:c r="C31" s="55" t="str">
        <x:v>2003</x:v>
      </x:c>
      <x:c r="D31" s="55" t="str">
        <x:v>Peer-reviewed article</x:v>
      </x:c>
      <x:c r="E31" s="55" t="str">
        <x:v>Platform economics</x:v>
      </x:c>
      <x:c r="F31" s="55" t="str">
        <x:v>Two-sided platforms must manage participation and price structure across both sides.</x:v>
      </x:c>
      <x:c r="G31" s="55" t="str">
        <x:v>Foundational theory, not FairNest-specific validation.</x:v>
      </x:c>
      <x:c r="H31" s="55" t="str">
        <x:v>https://doi.org/10.1162/154247603322493212</x:v>
      </x:c>
      <x:c r="I31" s="55" t="str">
        <x:v>Included</x:v>
      </x:c>
    </x:row>
    <x:row r="32">
      <x:c r="A32" s="55" t="str">
        <x:v>S28</x:v>
      </x:c>
      <x:c r="B32" s="55" t="str">
        <x:v>Cushman &amp; Wakefield</x:v>
      </x:c>
      <x:c r="C32" s="55" t="str">
        <x:v>2025</x:v>
      </x:c>
      <x:c r="D32" s="55" t="str">
        <x:v>Market intelligence</x:v>
      </x:c>
      <x:c r="E32" s="55" t="str">
        <x:v>Affordability/sector context</x:v>
      </x:c>
      <x:c r="F32" s="55" t="str">
        <x:v>Used as market triangulation around PBSA affordability and international-demand volatility.</x:v>
      </x:c>
      <x:c r="G32" s="55" t="str">
        <x:v>Commercial report rather than official statistics.</x:v>
      </x:c>
      <x:c r="H32" s="55" t="str">
        <x:v>https://www.cushmanwakefield.com/en/united-kingdom/insights/uk-student-accommodation-report</x:v>
      </x:c>
      <x:c r="I32" s="55" t="str">
        <x:v>Supporting</x:v>
      </x:c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</x:row>
  </x:sheetData>
  <x:mergeCells>
    <x:mergeCell ref="A1:I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42" hidden="0" customWidth="1"/>
    <x:col min="5" max="5" width="44" hidden="0" customWidth="1"/>
    <x:col min="6" max="6" width="42" hidden="0" customWidth="1"/>
    <x:col min="7" max="7" width="34" hidden="0" customWidth="1"/>
    <x:col min="8" max="8" width="30" hidden="0" customWidth="1"/>
  </x:cols>
  <x:sheetData>
    <x:row r="1">
      <x:c r="A1" s="52" t="str">
        <x:v>FairNest UK — Critical Literature Matrix</x:v>
      </x:c>
      <x:c r="B1" s="52"/>
      <x:c r="C1" s="52"/>
      <x:c r="D1" s="52"/>
      <x:c r="E1" s="52"/>
      <x:c r="F1" s="52"/>
      <x:c r="G1" s="52"/>
      <x:c r="H1" s="52"/>
      <x:c r="I1" s="53"/>
    </x:row>
    <x:row r="2">
      <x:c r="A2" s="52"/>
      <x:c r="B2" s="52"/>
      <x:c r="C2" s="52"/>
      <x:c r="D2" s="52"/>
      <x:c r="E2" s="52"/>
      <x:c r="F2" s="52"/>
      <x:c r="G2" s="52"/>
      <x:c r="H2" s="52"/>
      <x:c r="I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</x:row>
    <x:row r="4">
      <x:c r="A4" s="54" t="str">
        <x:v>Study</x:v>
      </x:c>
      <x:c r="B4" s="54" t="str">
        <x:v>Context/method</x:v>
      </x:c>
      <x:c r="C4" s="54" t="str">
        <x:v>Main contribution</x:v>
      </x:c>
      <x:c r="D4" s="54" t="str">
        <x:v>What it supports</x:v>
      </x:c>
      <x:c r="E4" s="54" t="str">
        <x:v>What it does NOT justify</x:v>
      </x:c>
      <x:c r="F4" s="54" t="str">
        <x:v>FairNest design implication</x:v>
      </x:c>
      <x:c r="G4" s="54" t="str">
        <x:v>Transfer limitation</x:v>
      </x:c>
      <x:c r="H4" s="54" t="str">
        <x:v>DOI</x:v>
      </x:c>
      <x:c r="I4" s="53"/>
    </x:row>
    <x:row r="5">
      <x:c r="A5" s="55" t="str">
        <x:v>Oladiran et al. (2023)</x:v>
      </x:c>
      <x:c r="B5" s="55" t="str">
        <x:v>UK student accommodation; online attribute analysis</x:v>
      </x:c>
      <x:c r="C5" s="55" t="str">
        <x:v>Property attributes shape online attractiveness.</x:v>
      </x:c>
      <x:c r="D5" s="55" t="str">
        <x:v>Prioritising decision-relevant displayed fields.</x:v>
      </x:c>
      <x:c r="E5" s="55" t="str">
        <x:v>Displaying every possible attribute or claiming one universal preference order.</x:v>
      </x:c>
      <x:c r="F5" s="55" t="str">
        <x:v>Comparable cost/contract/location fields.</x:v>
      </x:c>
      <x:c r="G5" s="55" t="str">
        <x:v>Not international-student-only.</x:v>
      </x:c>
      <x:c r="H5" s="55" t="str">
        <x:v>10.1108/JERER-03-2021-0019</x:v>
      </x:c>
      <x:c r="I5" s="53"/>
    </x:row>
    <x:row r="6">
      <x:c r="A6" s="55" t="str">
        <x:v>Kallin (2024)</x:v>
      </x:c>
      <x:c r="B6" s="55" t="str">
        <x:v>Edinburgh; in-depth interviews with students experiencing housing precarity</x:v>
      </x:c>
      <x:c r="C6" s="55" t="str">
        <x:v>More PBSA does not automatically solve affordability-led housing precarity.</x:v>
      </x:c>
      <x:c r="D6" s="55" t="str">
        <x:v>Critical distinction between supply quantity and affordability.</x:v>
      </x:c>
      <x:c r="E6" s="55" t="str">
        <x:v>Using bed growth as proof that the housing problem is solved.</x:v>
      </x:c>
      <x:c r="F6" s="55" t="str">
        <x:v>Compare affordability and booking cash, not just availability.</x:v>
      </x:c>
      <x:c r="G6" s="55" t="str">
        <x:v>Edinburgh-specific qualitative evidence.</x:v>
      </x:c>
      <x:c r="H6" s="55" t="str">
        <x:v>10.1080/14702541.2024.2372623</x:v>
      </x:c>
      <x:c r="I6" s="53"/>
    </x:row>
    <x:row r="7">
      <x:c r="A7" s="55" t="str">
        <x:v>Hunter &amp; Makin (2025)</x:v>
      </x:c>
      <x:c r="B7" s="55" t="str">
        <x:v>England; planning-law analysis</x:v>
      </x:c>
      <x:c r="C7" s="55" t="str">
        <x:v>PBSA growth is embedded in planning, investment and constructions of student housing.</x:v>
      </x:c>
      <x:c r="D7" s="55" t="str">
        <x:v>Critical treatment of PBSA as a governed market form.</x:v>
      </x:c>
      <x:c r="E7" s="55" t="str">
        <x:v>Assuming professionally managed PBSA is automatically optimal.</x:v>
      </x:c>
      <x:c r="F7" s="55" t="str">
        <x:v>Do not privilege tenure type in ranking.</x:v>
      </x:c>
      <x:c r="G7" s="55" t="str">
        <x:v>Planning/legal emphasis rather than user testing.</x:v>
      </x:c>
      <x:c r="H7" s="55" t="str">
        <x:v>10.1080/09649069.2025.2569180</x:v>
      </x:c>
      <x:c r="I7" s="53"/>
    </x:row>
    <x:row r="8">
      <x:c r="A8" s="55" t="str">
        <x:v>Hubbard &amp; Morris (2026)</x:v>
      </x:c>
      <x:c r="B8" s="55" t="str">
        <x:v>England &amp; Wales; legal-geography/regulatory analysis</x:v>
      </x:c>
      <x:c r="C8" s="55" t="str">
        <x:v>Students are treated as a distinct and sometimes excluded housing population through regulation.</x:v>
      </x:c>
      <x:c r="D8" s="55" t="str">
        <x:v>Agreement context matters for housing choice.</x:v>
      </x:c>
      <x:c r="E8" s="55" t="str">
        <x:v>Applying one private-rental rule set across all student housing.</x:v>
      </x:c>
      <x:c r="F8" s="55" t="str">
        <x:v>Classify legal/contract context before prompts.</x:v>
      </x:c>
      <x:c r="G8" s="55" t="str">
        <x:v>Policy analysis; not a behavioural experiment.</x:v>
      </x:c>
      <x:c r="H8" s="55" t="str">
        <x:v>10.1080/02723638.2026.2623129</x:v>
      </x:c>
      <x:c r="I8" s="53"/>
    </x:row>
    <x:row r="9">
      <x:c r="A9" s="55" t="str">
        <x:v>Hoolachan, Preece &amp; Moore (2026)</x:v>
      </x:c>
      <x:c r="B9" s="55" t="str">
        <x:v>Scotland; 45 student interviews across three catchments</x:v>
      </x:c>
      <x:c r="C9" s="55" t="str">
        <x:v>Student accommodation is experienced as home; emotions, shared living and inclusion matter.</x:v>
      </x:c>
      <x:c r="D9" s="55" t="str">
        <x:v>Preference heterogeneity and non-price trade-offs.</x:v>
      </x:c>
      <x:c r="E9" s="55" t="str">
        <x:v>Reducing 'best' accommodation to cheapest rent.</x:v>
      </x:c>
      <x:c r="F9" s="55" t="str">
        <x:v>User-controlled preferences and room/location visibility.</x:v>
      </x:c>
      <x:c r="G9" s="55" t="str">
        <x:v>Scottish qualitative context.</x:v>
      </x:c>
      <x:c r="H9" s="55" t="str">
        <x:v>10.1080/14036096.2026.2622948</x:v>
      </x:c>
      <x:c r="I9" s="53"/>
    </x:row>
    <x:row r="10">
      <x:c r="A10" s="55" t="str">
        <x:v>Corney et al. (2024)</x:v>
      </x:c>
      <x:c r="B10" s="55" t="str">
        <x:v>Australia; mixed methods with international students</x:v>
      </x:c>
      <x:c r="C10" s="55" t="str">
        <x:v>Accommodation, location and perceived safety relate to wellbeing.</x:v>
      </x:c>
      <x:c r="D10" s="55" t="str">
        <x:v>Importance of location/context in decision support.</x:v>
      </x:c>
      <x:c r="E10" s="55" t="str">
        <x:v>UK prevalence estimates or direct causal effects.</x:v>
      </x:c>
      <x:c r="F10" s="55" t="str">
        <x:v>Surface commute/location and safety-signposting questions.</x:v>
      </x:c>
      <x:c r="G10" s="55" t="str">
        <x:v>Australian setting.</x:v>
      </x:c>
      <x:c r="H10" s="55" t="str">
        <x:v>10.1186/s12889-024-18691-8</x:v>
      </x:c>
      <x:c r="I10" s="53"/>
    </x:row>
    <x:row r="11">
      <x:c r="A11" s="55" t="str">
        <x:v>Hastings et al. (2024)</x:v>
      </x:c>
      <x:c r="B11" s="55" t="str">
        <x:v>Australia; international-student housing precarity</x:v>
      </x:c>
      <x:c r="C11" s="55" t="str">
        <x:v>Precarious/expensive accommodation can affect academic experience.</x:v>
      </x:c>
      <x:c r="D11" s="55" t="str">
        <x:v>Why affordability pressure is consequential.</x:v>
      </x:c>
      <x:c r="E11" s="55" t="str">
        <x:v>Assuming the same effect size in Coventry.</x:v>
      </x:c>
      <x:c r="F11" s="55" t="str">
        <x:v>Treat booking cash and total cost as salient.</x:v>
      </x:c>
      <x:c r="G11" s="55" t="str">
        <x:v>Australian setting.</x:v>
      </x:c>
      <x:c r="H11" s="55" t="str">
        <x:v>10.1080/03057925.2023.2184199</x:v>
      </x:c>
      <x:c r="I11" s="53"/>
    </x:row>
    <x:row r="12">
      <x:c r="A12" s="55" t="str">
        <x:v>Mavlanova et al. (2012)</x:v>
      </x:c>
      <x:c r="B12" s="55" t="str">
        <x:v>Online commerce; signalling theory</x:v>
      </x:c>
      <x:c r="C12" s="55" t="str">
        <x:v>Signals differ in credibility and verifiability under information asymmetry.</x:v>
      </x:c>
      <x:c r="D12" s="55" t="str">
        <x:v>Source provenance, check dates and verifiable evidence.</x:v>
      </x:c>
      <x:c r="E12" s="55" t="str">
        <x:v>A generic 'verified' badge as proof of safety.</x:v>
      </x:c>
      <x:c r="F12" s="55" t="str">
        <x:v>Evidence provenance rather than opaque certification.</x:v>
      </x:c>
      <x:c r="G12" s="55" t="str">
        <x:v>Online pharmacy context.</x:v>
      </x:c>
      <x:c r="H12" s="55" t="str">
        <x:v>10.1016/j.im.2012.05.004</x:v>
      </x:c>
      <x:c r="I12" s="53"/>
    </x:row>
    <x:row r="13">
      <x:c r="A13" s="55" t="str">
        <x:v>Kim et al. (2008)</x:v>
      </x:c>
      <x:c r="B13" s="55" t="str">
        <x:v>E-commerce; trust/risk decision model</x:v>
      </x:c>
      <x:c r="C13" s="55" t="str">
        <x:v>Trust and perceived risk shape online purchase decisions.</x:v>
      </x:c>
      <x:c r="D13" s="55" t="str">
        <x:v>Need to expose evidence and uncertainty before commitment.</x:v>
      </x:c>
      <x:c r="E13" s="55" t="str">
        <x:v>Claim that FairNest will increase conversion without testing.</x:v>
      </x:c>
      <x:c r="F13" s="55" t="str">
        <x:v>Explain why a field is believed and flag missing data.</x:v>
      </x:c>
      <x:c r="G13" s="55" t="str">
        <x:v>General e-commerce.</x:v>
      </x:c>
      <x:c r="H13" s="55" t="str">
        <x:v>10.1016/j.dss.2007.07.001</x:v>
      </x:c>
      <x:c r="I13" s="53"/>
    </x:row>
    <x:row r="14">
      <x:c r="A14" s="55" t="str">
        <x:v>Rochet &amp; Tirole (2003)</x:v>
      </x:c>
      <x:c r="B14" s="55" t="str">
        <x:v>Platform economics; two-sided markets</x:v>
      </x:c>
      <x:c r="C14" s="55" t="str">
        <x:v>Platform participation depends on value/price structure across both sides.</x:v>
      </x:c>
      <x:c r="D14" s="55" t="str">
        <x:v>Free student core with provider-side monetisation logic.</x:v>
      </x:c>
      <x:c r="E14" s="55" t="str">
        <x:v>Proof that the proposed prices are acceptable.</x:v>
      </x:c>
      <x:c r="F14" s="55" t="str">
        <x:v>Keep provider payments separate from organic ranking.</x:v>
      </x:c>
      <x:c r="G14" s="55" t="str">
        <x:v>Foundational theory; no FairNest WTP evidence.</x:v>
      </x:c>
      <x:c r="H14" s="55" t="str">
        <x:v>10.1162/154247603322493212</x:v>
      </x:c>
      <x:c r="I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</x:row>
  </x:sheetData>
  <x:mergeCells>
    <x:mergeCell ref="A1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42" hidden="0" customWidth="1"/>
    <x:col min="5" max="5" width="14" hidden="0" customWidth="1"/>
  </x:cols>
  <x:sheetData>
    <x:row r="1">
      <x:c r="A1" s="52" t="str">
        <x:v>FairNest UK — Supervisor Feedback and Action Log</x:v>
      </x:c>
      <x:c r="B1" s="52"/>
      <x:c r="C1" s="52"/>
      <x:c r="D1" s="52"/>
      <x:c r="E1" s="52"/>
      <x:c r="F1" s="53"/>
      <x:c r="G1" s="53"/>
      <x:c r="H1" s="53"/>
      <x:c r="I1" s="53"/>
    </x:row>
    <x:row r="2">
      <x:c r="A2" s="52"/>
      <x:c r="B2" s="52"/>
      <x:c r="C2" s="52"/>
      <x:c r="D2" s="52"/>
      <x:c r="E2" s="52"/>
      <x:c r="F2" s="53"/>
      <x:c r="G2" s="53"/>
      <x:c r="H2" s="53"/>
      <x:c r="I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</x:row>
    <x:row r="4">
      <x:c r="A4" s="54" t="str">
        <x:v>Feedback area</x:v>
      </x:c>
      <x:c r="B4" s="54" t="str">
        <x:v>Requested change</x:v>
      </x:c>
      <x:c r="C4" s="54" t="str">
        <x:v>Action taken</x:v>
      </x:c>
      <x:c r="D4" s="54" t="str">
        <x:v>Where evidenced</x:v>
      </x:c>
      <x:c r="E4" s="54" t="str">
        <x:v>Status</x:v>
      </x:c>
      <x:c r="F4" s="53"/>
      <x:c r="G4" s="53"/>
      <x:c r="H4" s="53"/>
      <x:c r="I4" s="53"/>
    </x:row>
    <x:row r="5">
      <x:c r="A5" s="55" t="str">
        <x:v>Tables and figures</x:v>
      </x:c>
      <x:c r="B5" s="55" t="str">
        <x:v>Use clear headings/titles and show the source below each table/figure.</x:v>
      </x:c>
      <x:c r="C5" s="55" t="str">
        <x:v>Standardised numbering, titles and source notes throughout the report.</x:v>
      </x:c>
      <x:c r="D5" s="55" t="str">
        <x:v>Final report tables/figures; source register.</x:v>
      </x:c>
      <x:c r="E5" s="55" t="str">
        <x:v>Complete</x:v>
      </x:c>
      <x:c r="F5" s="53"/>
      <x:c r="G5" s="53"/>
      <x:c r="H5" s="53"/>
      <x:c r="I5" s="53"/>
    </x:row>
    <x:row r="6">
      <x:c r="A6" s="55" t="str">
        <x:v>Literature review</x:v>
      </x:c>
      <x:c r="B6" s="55" t="str">
        <x:v>Strengthen scholarly discussion and critical engagement rather than relying on descriptive treatment.</x:v>
      </x:c>
      <x:c r="C6" s="55" t="str">
        <x:v>Added debate on PBSA supply/affordability, planning/regulation, studentification and accommodation-as-home; contrasted evidence and transfer limits.</x:v>
      </x:c>
      <x:c r="D6" s="55" t="str">
        <x:v>Literature Matrix; report Section 2.</x:v>
      </x:c>
      <x:c r="E6" s="55" t="str">
        <x:v>Complete</x:v>
      </x:c>
      <x:c r="F6" s="53"/>
      <x:c r="G6" s="53"/>
      <x:c r="H6" s="53"/>
      <x:c r="I6" s="53"/>
    </x:row>
    <x:row r="7">
      <x:c r="A7" s="55" t="str">
        <x:v>Table 1 / conceptual framing</x:v>
      </x:c>
      <x:c r="B7" s="55" t="str">
        <x:v>Make the evidence base behind the research-question/design mapping explicit.</x:v>
      </x:c>
      <x:c r="C7" s="55" t="str">
        <x:v>Replaced generic source wording with specific evidence sources and clarified evidence-to-design logic.</x:v>
      </x:c>
      <x:c r="D7" s="55" t="str">
        <x:v>Report Table 1; Evidence Traceability sheet.</x:v>
      </x:c>
      <x:c r="E7" s="55" t="str">
        <x:v>Complete</x:v>
      </x:c>
      <x:c r="F7" s="53"/>
      <x:c r="G7" s="53"/>
      <x:c r="H7" s="53"/>
      <x:c r="I7" s="53"/>
    </x:row>
    <x:row r="8">
      <x:c r="A8" s="55" t="str">
        <x:v>Table 2 / critical synthesis</x:v>
      </x:c>
      <x:c r="B8" s="55" t="str">
        <x:v>Clarify the scholarly basis and resulting design implications.</x:v>
      </x:c>
      <x:c r="C8" s="55" t="str">
        <x:v>Refined the critical synthesis so it distinguishes what evidence supports from what it does not justify.</x:v>
      </x:c>
      <x:c r="D8" s="55" t="str">
        <x:v>Report Table 2; Literature Matrix.</x:v>
      </x:c>
      <x:c r="E8" s="55" t="str">
        <x:v>Complete</x:v>
      </x:c>
      <x:c r="F8" s="53"/>
      <x:c r="G8" s="53"/>
      <x:c r="H8" s="53"/>
      <x:c r="I8" s="53"/>
    </x:row>
    <x:row r="9">
      <x:c r="A9" s="55" t="str">
        <x:v>Financial logic</x:v>
      </x:c>
      <x:c r="B9" s="55" t="str">
        <x:v>Clarify assumptions, exclusions, scenario results and interpretation.</x:v>
      </x:c>
      <x:c r="C9" s="55" t="str">
        <x:v>Separated sourced metrics from managerial assumptions; corrected recurring provider MRR; retained Year-1 funding gap as a feasibility finding.</x:v>
      </x:c>
      <x:c r="D9" s="55" t="str">
        <x:v>Assumptions, Scenario Summary and Monthly Model sheets.</x:v>
      </x:c>
      <x:c r="E9" s="55" t="str">
        <x:v>Complete</x:v>
      </x:c>
      <x:c r="F9" s="53"/>
      <x:c r="G9" s="53"/>
      <x:c r="H9" s="53"/>
      <x:c r="I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</x:row>
  </x:sheetData>
  <x:mergeCells>
    <x:mergeCell ref="A1:E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42" hidden="0" customWidth="1"/>
    <x:col min="5" max="5" width="42" hidden="0" customWidth="1"/>
    <x:col min="6" max="6" width="32" hidden="0" customWidth="1"/>
    <x:col min="7" max="7" width="12" hidden="0" customWidth="1"/>
  </x:cols>
  <x:sheetData>
    <x:row r="1">
      <x:c r="A1" s="52" t="str">
        <x:v>FairNest UK — Artefact Requirements and Acceptance Criteria</x:v>
      </x:c>
      <x:c r="B1" s="52"/>
      <x:c r="C1" s="52"/>
      <x:c r="D1" s="52"/>
      <x:c r="E1" s="52"/>
      <x:c r="F1" s="52"/>
      <x:c r="G1" s="52"/>
      <x:c r="H1" s="53"/>
      <x:c r="I1" s="53"/>
    </x:row>
    <x:row r="2">
      <x:c r="A2" s="52"/>
      <x:c r="B2" s="52"/>
      <x:c r="C2" s="52"/>
      <x:c r="D2" s="52"/>
      <x:c r="E2" s="52"/>
      <x:c r="F2" s="52"/>
      <x:c r="G2" s="52"/>
      <x:c r="H2" s="53"/>
      <x:c r="I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</x:row>
    <x:row r="4">
      <x:c r="A4" s="54" t="str">
        <x:v>Req ID</x:v>
      </x:c>
      <x:c r="B4" s="54" t="str">
        <x:v>Requirement</x:v>
      </x:c>
      <x:c r="C4" s="54" t="str">
        <x:v>Evidence basis</x:v>
      </x:c>
      <x:c r="D4" s="54" t="str">
        <x:v>Implementation</x:v>
      </x:c>
      <x:c r="E4" s="54" t="str">
        <x:v>Acceptance criterion</x:v>
      </x:c>
      <x:c r="F4" s="54" t="str">
        <x:v>Risk controlled</x:v>
      </x:c>
      <x:c r="G4" s="54" t="str">
        <x:v>Status</x:v>
      </x:c>
      <x:c r="H4" s="53"/>
      <x:c r="I4" s="53"/>
    </x:row>
    <x:row r="5">
      <x:c r="A5" s="55" t="str">
        <x:v>R01</x:v>
      </x:c>
      <x:c r="B5" s="55" t="str">
        <x:v>Separate weekly rent, contract total and known booking cash</x:v>
      </x:c>
      <x:c r="C5" s="55" t="str">
        <x:v>Coventry University payment evidence; OfS cost salience</x:v>
      </x:c>
      <x:c r="D5" s="55" t="str">
        <x:v>Discover &amp; Compare view shows distinct values.</x:v>
      </x:c>
      <x:c r="E5" s="55" t="str">
        <x:v>No affordability conclusion based only on weekly rent.</x:v>
      </x:c>
      <x:c r="F5" s="55" t="str">
        <x:v>Headline-price bias</x:v>
      </x:c>
      <x:c r="G5" s="55" t="str">
        <x:v>Pass</x:v>
      </x:c>
      <x:c r="H5" s="53"/>
      <x:c r="I5" s="53"/>
    </x:row>
    <x:row r="6">
      <x:c r="A6" s="55" t="str">
        <x:v>R02</x:v>
      </x:c>
      <x:c r="B6" s="55" t="str">
        <x:v>Expose source provenance and check date</x:v>
      </x:c>
      <x:c r="C6" s="55" t="str">
        <x:v>Signalling/trust literature</x:v>
      </x:c>
      <x:c r="D6" s="55" t="str">
        <x:v>Evidence tab links each option to source(s) and date.</x:v>
      </x:c>
      <x:c r="E6" s="55" t="str">
        <x:v>User can identify origin and freshness of every populated option.</x:v>
      </x:c>
      <x:c r="F6" s="55" t="str">
        <x:v>Information asymmetry</x:v>
      </x:c>
      <x:c r="G6" s="55" t="str">
        <x:v>Pass</x:v>
      </x:c>
      <x:c r="H6" s="53"/>
      <x:c r="I6" s="53"/>
    </x:row>
    <x:row r="7">
      <x:c r="A7" s="55" t="str">
        <x:v>R03</x:v>
      </x:c>
      <x:c r="B7" s="55" t="str">
        <x:v>Show missing data explicitly</x:v>
      </x:c>
      <x:c r="C7" s="55" t="str">
        <x:v>Data-quality governance</x:v>
      </x:c>
      <x:c r="D7" s="55" t="str">
        <x:v>Unknown values shown as missing/not normalised.</x:v>
      </x:c>
      <x:c r="E7" s="55" t="str">
        <x:v>No unknown field displayed as £0 or favourable certainty.</x:v>
      </x:c>
      <x:c r="F7" s="55" t="str">
        <x:v>False precision</x:v>
      </x:c>
      <x:c r="G7" s="55" t="str">
        <x:v>Pass</x:v>
      </x:c>
      <x:c r="H7" s="53"/>
      <x:c r="I7" s="53"/>
    </x:row>
    <x:row r="8">
      <x:c r="A8" s="55" t="str">
        <x:v>R04</x:v>
      </x:c>
      <x:c r="B8" s="55" t="str">
        <x:v>Classify accommodation context before legal prompts</x:v>
      </x:c>
      <x:c r="C8" s="55" t="str">
        <x:v>2026 Renters' Rights guidance; halls distinction</x:v>
      </x:c>
      <x:c r="D8" s="55" t="str">
        <x:v>Contract &amp; Legal Check separates halls, PBSA and private assured tenancy context.</x:v>
      </x:c>
      <x:c r="E8" s="55" t="str">
        <x:v>Private-tenancy rule is never automatically applied to a hall.</x:v>
      </x:c>
      <x:c r="F8" s="55" t="str">
        <x:v>Misleading legal guidance</x:v>
      </x:c>
      <x:c r="G8" s="55" t="str">
        <x:v>Pass</x:v>
      </x:c>
      <x:c r="H8" s="53"/>
      <x:c r="I8" s="53"/>
    </x:row>
    <x:row r="9">
      <x:c r="A9" s="55" t="str">
        <x:v>R05</x:v>
      </x:c>
      <x:c r="B9" s="55" t="str">
        <x:v>Keep ranking user controlled</x:v>
      </x:c>
      <x:c r="C9" s="55" t="str">
        <x:v>Preference heterogeneity literature</x:v>
      </x:c>
      <x:c r="D9" s="55" t="str">
        <x:v>User can alter weights for cost, cash, commute and evidence.</x:v>
      </x:c>
      <x:c r="E9" s="55" t="str">
        <x:v>Weight changes alter Fit Score transparently.</x:v>
      </x:c>
      <x:c r="F9" s="55" t="str">
        <x:v>Opaque recommendation</x:v>
      </x:c>
      <x:c r="G9" s="55" t="str">
        <x:v>Pass</x:v>
      </x:c>
      <x:c r="H9" s="53"/>
      <x:c r="I9" s="53"/>
    </x:row>
    <x:row r="10">
      <x:c r="A10" s="55" t="str">
        <x:v>R06</x:v>
      </x:c>
      <x:c r="B10" s="55" t="str">
        <x:v>Keep paid status out of organic ranking</x:v>
      </x:c>
      <x:c r="C10" s="55" t="str">
        <x:v>Two-sided-platform governance</x:v>
      </x:c>
      <x:c r="D10" s="55" t="str">
        <x:v>Commercial status is not a scoring input.</x:v>
      </x:c>
      <x:c r="E10" s="55" t="str">
        <x:v>Same evidence/preferences yield same Fit Score regardless of paid status.</x:v>
      </x:c>
      <x:c r="F10" s="55" t="str">
        <x:v>Pay-to-rank conflict</x:v>
      </x:c>
      <x:c r="G10" s="55" t="str">
        <x:v>Pass</x:v>
      </x:c>
      <x:c r="H10" s="53"/>
      <x:c r="I10" s="53"/>
    </x:row>
    <x:row r="11">
      <x:c r="A11" s="55" t="str">
        <x:v>R07</x:v>
      </x:c>
      <x:c r="B11" s="55" t="str">
        <x:v>Provide parent/sponsor decision support</x:v>
      </x:c>
      <x:c r="C11" s="55" t="str">
        <x:v>International pre-arrival decision context</x:v>
      </x:c>
      <x:c r="D11" s="55" t="str">
        <x:v>Parent/Sponsor Summary surfaces cost/evidence questions.</x:v>
      </x:c>
      <x:c r="E11" s="55" t="str">
        <x:v>Summary shows decision checks before transfer.</x:v>
      </x:c>
      <x:c r="F11" s="55" t="str">
        <x:v>Remote decision risk</x:v>
      </x:c>
      <x:c r="G11" s="55" t="str">
        <x:v>Pass</x:v>
      </x:c>
      <x:c r="H11" s="53"/>
      <x:c r="I11" s="53"/>
    </x:row>
    <x:row r="12">
      <x:c r="A12" s="55" t="str">
        <x:v>R08</x:v>
      </x:c>
      <x:c r="B12" s="55" t="str">
        <x:v>Avoid presenting evidence completeness as safety probability</x:v>
      </x:c>
      <x:c r="C12" s="55" t="str">
        <x:v>Trust/governance literature</x:v>
      </x:c>
      <x:c r="D12" s="55" t="str">
        <x:v>UI describes it as traceability/coverage indicator.</x:v>
      </x:c>
      <x:c r="E12" s="55" t="str">
        <x:v>No safety-certification claim in UI or documentation.</x:v>
      </x:c>
      <x:c r="F12" s="55" t="str">
        <x:v>Overclaiming verification</x:v>
      </x:c>
      <x:c r="G12" s="55" t="str">
        <x:v>Pass</x:v>
      </x:c>
      <x:c r="H12" s="53"/>
      <x:c r="I12" s="53"/>
    </x:row>
    <x:row r="13">
      <x:c r="A13" s="55" t="str">
        <x:v>R09</x:v>
      </x:c>
      <x:c r="B13" s="55" t="str">
        <x:v>Minimise personal data</x:v>
      </x:c>
      <x:c r="C13" s="55" t="str">
        <x:v>ICO guidance</x:v>
      </x:c>
      <x:c r="D13" s="55" t="str">
        <x:v>Prototype ranking works without protected-characteristic data.</x:v>
      </x:c>
      <x:c r="E13" s="55" t="str">
        <x:v>No nationality/race/religion field required for ranking.</x:v>
      </x:c>
      <x:c r="F13" s="55" t="str">
        <x:v>Privacy/discrimination</x:v>
      </x:c>
      <x:c r="G13" s="55" t="str">
        <x:v>Pass</x:v>
      </x:c>
      <x:c r="H13" s="53"/>
      <x:c r="I13" s="53"/>
    </x:row>
    <x:row r="14">
      <x:c r="A14" s="55" t="str">
        <x:v>R10</x:v>
      </x:c>
      <x:c r="B14" s="55" t="str">
        <x:v>Provide clear limitations/legal boundary</x:v>
      </x:c>
      <x:c r="C14" s="55" t="str">
        <x:v>Regulatory and methodological limitations</x:v>
      </x:c>
      <x:c r="D14" s="55" t="str">
        <x:v>Boundary text states decision support, not legal advice.</x:v>
      </x:c>
      <x:c r="E14" s="55" t="str">
        <x:v>User is directed to official/qualified advice for personal interpretation.</x:v>
      </x:c>
      <x:c r="F14" s="55" t="str">
        <x:v>Liability/misinterpretation</x:v>
      </x:c>
      <x:c r="G14" s="55" t="str">
        <x:v>Pass</x:v>
      </x:c>
      <x:c r="H14" s="53"/>
      <x:c r="I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</x:row>
  </x:sheetData>
  <x:mergeCells>
    <x:mergeCell ref="A1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38" hidden="0" customWidth="1"/>
    <x:col min="4" max="4" width="42" hidden="0" customWidth="1"/>
    <x:col min="5" max="5" width="38" hidden="0" customWidth="1"/>
    <x:col min="6" max="6" width="30" hidden="0" customWidth="1"/>
    <x:col min="7" max="7" width="12" hidden="0" customWidth="1"/>
  </x:cols>
  <x:sheetData>
    <x:row r="1">
      <x:c r="A1" s="52" t="str">
        <x:v>FairNest UK — Scenario-Based Artefact Test Record</x:v>
      </x:c>
      <x:c r="B1" s="52"/>
      <x:c r="C1" s="52"/>
      <x:c r="D1" s="52"/>
      <x:c r="E1" s="52"/>
      <x:c r="F1" s="52"/>
      <x:c r="G1" s="52"/>
      <x:c r="H1" s="53"/>
      <x:c r="I1" s="53"/>
    </x:row>
    <x:row r="2">
      <x:c r="A2" s="52"/>
      <x:c r="B2" s="52"/>
      <x:c r="C2" s="52"/>
      <x:c r="D2" s="52"/>
      <x:c r="E2" s="52"/>
      <x:c r="F2" s="52"/>
      <x:c r="G2" s="52"/>
      <x:c r="H2" s="53"/>
      <x:c r="I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</x:row>
    <x:row r="4">
      <x:c r="A4" s="54" t="str">
        <x:v>Test ID</x:v>
      </x:c>
      <x:c r="B4" s="54" t="str">
        <x:v>Scenario</x:v>
      </x:c>
      <x:c r="C4" s="54" t="str">
        <x:v>Input/condition</x:v>
      </x:c>
      <x:c r="D4" s="54" t="str">
        <x:v>Expected behaviour</x:v>
      </x:c>
      <x:c r="E4" s="54" t="str">
        <x:v>Observed result</x:v>
      </x:c>
      <x:c r="F4" s="54" t="str">
        <x:v>Evidence</x:v>
      </x:c>
      <x:c r="G4" s="54" t="str">
        <x:v>Outcome</x:v>
      </x:c>
      <x:c r="H4" s="53"/>
      <x:c r="I4" s="53"/>
    </x:row>
    <x:row r="5">
      <x:c r="A5" s="55" t="str">
        <x:v>T01</x:v>
      </x:c>
      <x:c r="B5" s="55" t="str">
        <x:v>Budget sensitivity</x:v>
      </x:c>
      <x:c r="C5" s="55" t="str">
        <x:v>Reduce weekly budget below a selected room's rent.</x:v>
      </x:c>
      <x:c r="D5" s="55" t="str">
        <x:v>Recurring-cost component declines; raw price remains visible.</x:v>
      </x:c>
      <x:c r="E5" s="55" t="str">
        <x:v>Score responds to budget; listing data unchanged.</x:v>
      </x:c>
      <x:c r="F5" s="55" t="str">
        <x:v>Fit Score formula.</x:v>
      </x:c>
      <x:c r="G5" s="55" t="str">
        <x:v>Pass</x:v>
      </x:c>
      <x:c r="H5" s="53"/>
      <x:c r="I5" s="53"/>
    </x:row>
    <x:row r="6">
      <x:c r="A6" s="55" t="str">
        <x:v>T02</x:v>
      </x:c>
      <x:c r="B6" s="55" t="str">
        <x:v>Booking-cash sensitivity</x:v>
      </x:c>
      <x:c r="C6" s="55" t="str">
        <x:v>Set cash limit below known booking cash.</x:v>
      </x:c>
      <x:c r="D6" s="55" t="str">
        <x:v>Move-in-cash component declines.</x:v>
      </x:c>
      <x:c r="E6" s="55" t="str">
        <x:v>Score responds without hiding the cash amount.</x:v>
      </x:c>
      <x:c r="F6" s="55" t="str">
        <x:v>Fit Score formula.</x:v>
      </x:c>
      <x:c r="G6" s="55" t="str">
        <x:v>Pass</x:v>
      </x:c>
      <x:c r="H6" s="53"/>
      <x:c r="I6" s="53"/>
    </x:row>
    <x:row r="7">
      <x:c r="A7" s="55" t="str">
        <x:v>T03</x:v>
      </x:c>
      <x:c r="B7" s="55" t="str">
        <x:v>Missing payment data</x:v>
      </x:c>
      <x:c r="C7" s="55" t="str">
        <x:v>Select an aggregator example with incomplete payment evidence.</x:v>
      </x:c>
      <x:c r="D7" s="55" t="str">
        <x:v>UI shows missing/not normalised rather than £0.</x:v>
      </x:c>
      <x:c r="E7" s="55" t="str">
        <x:v>Missing data remains visible.</x:v>
      </x:c>
      <x:c r="F7" s="55" t="str">
        <x:v>Evidence provenance logic.</x:v>
      </x:c>
      <x:c r="G7" s="55" t="str">
        <x:v>Pass</x:v>
      </x:c>
      <x:c r="H7" s="53"/>
      <x:c r="I7" s="53"/>
    </x:row>
    <x:row r="8">
      <x:c r="A8" s="55" t="str">
        <x:v>T04</x:v>
      </x:c>
      <x:c r="B8" s="55" t="str">
        <x:v>Private tenancy legal context</x:v>
      </x:c>
      <x:c r="C8" s="55" t="str">
        <x:v>Open a private assured-tenancy example.</x:v>
      </x:c>
      <x:c r="D8" s="55" t="str">
        <x:v>2026 rent/deposit prompts shown with boundary wording.</x:v>
      </x:c>
      <x:c r="E8" s="55" t="str">
        <x:v>Context-specific prompts shown.</x:v>
      </x:c>
      <x:c r="F8" s="55" t="str">
        <x:v>GOV.UK rules.</x:v>
      </x:c>
      <x:c r="G8" s="55" t="str">
        <x:v>Pass</x:v>
      </x:c>
      <x:c r="H8" s="53"/>
      <x:c r="I8" s="53"/>
    </x:row>
    <x:row r="9">
      <x:c r="A9" s="55" t="str">
        <x:v>T05</x:v>
      </x:c>
      <x:c r="B9" s="55" t="str">
        <x:v>University hall context</x:v>
      </x:c>
      <x:c r="C9" s="55" t="str">
        <x:v>Open a university-managed hall.</x:v>
      </x:c>
      <x:c r="D9" s="55" t="str">
        <x:v>Private-tenancy rules are not asserted as if they automatically apply.</x:v>
      </x:c>
      <x:c r="E9" s="55" t="str">
        <x:v>Hall/licence context displayed separately.</x:v>
      </x:c>
      <x:c r="F9" s="55" t="str">
        <x:v>Coventry University terms / GOV.UK halls distinction.</x:v>
      </x:c>
      <x:c r="G9" s="55" t="str">
        <x:v>Pass</x:v>
      </x:c>
      <x:c r="H9" s="53"/>
      <x:c r="I9" s="53"/>
    </x:row>
    <x:row r="10">
      <x:c r="A10" s="55" t="str">
        <x:v>T06</x:v>
      </x:c>
      <x:c r="B10" s="55" t="str">
        <x:v>Preference reweighting</x:v>
      </x:c>
      <x:c r="C10" s="55" t="str">
        <x:v>Increase commute weight and reduce cost weight.</x:v>
      </x:c>
      <x:c r="D10" s="55" t="str">
        <x:v>Ranking changes according to the user's stated priorities.</x:v>
      </x:c>
      <x:c r="E10" s="55" t="str">
        <x:v>Fit Score updates with weights.</x:v>
      </x:c>
      <x:c r="F10" s="55" t="str">
        <x:v>Fit Score logic.</x:v>
      </x:c>
      <x:c r="G10" s="55" t="str">
        <x:v>Pass</x:v>
      </x:c>
      <x:c r="H10" s="53"/>
      <x:c r="I10" s="53"/>
    </x:row>
    <x:row r="11">
      <x:c r="A11" s="55" t="str">
        <x:v>T07</x:v>
      </x:c>
      <x:c r="B11" s="55" t="str">
        <x:v>Evidence provenance</x:v>
      </x:c>
      <x:c r="C11" s="55" t="str">
        <x:v>Open evidence panel for a listed option.</x:v>
      </x:c>
      <x:c r="D11" s="55" t="str">
        <x:v>Primary source and check date displayed.</x:v>
      </x:c>
      <x:c r="E11" s="55" t="str">
        <x:v>Source link/date visible.</x:v>
      </x:c>
      <x:c r="F11" s="55" t="str">
        <x:v>Source register.</x:v>
      </x:c>
      <x:c r="G11" s="55" t="str">
        <x:v>Pass</x:v>
      </x:c>
      <x:c r="H11" s="53"/>
      <x:c r="I11" s="53"/>
    </x:row>
    <x:row r="12">
      <x:c r="A12" s="55" t="str">
        <x:v>T08</x:v>
      </x:c>
      <x:c r="B12" s="55" t="str">
        <x:v>Paid-status independence</x:v>
      </x:c>
      <x:c r="C12" s="55" t="str">
        <x:v>Compare logic with no paid-status variable in scoring.</x:v>
      </x:c>
      <x:c r="D12" s="55" t="str">
        <x:v>Fit Score unaffected by commercial status.</x:v>
      </x:c>
      <x:c r="E12" s="55" t="str">
        <x:v>No paid field in score formula.</x:v>
      </x:c>
      <x:c r="F12" s="55" t="str">
        <x:v>Governance rule.</x:v>
      </x:c>
      <x:c r="G12" s="55" t="str">
        <x:v>Pass</x:v>
      </x:c>
      <x:c r="H12" s="53"/>
      <x:c r="I12" s="53"/>
    </x:row>
    <x:row r="13">
      <x:c r="A13" s="55" t="str">
        <x:v>T09</x:v>
      </x:c>
      <x:c r="B13" s="55" t="str">
        <x:v>Parent summary</x:v>
      </x:c>
      <x:c r="C13" s="55" t="str">
        <x:v>Generate summary for highest-fit option.</x:v>
      </x:c>
      <x:c r="D13" s="55" t="str">
        <x:v>Summary surfaces cost, payment and evidence checks.</x:v>
      </x:c>
      <x:c r="E13" s="55" t="str">
        <x:v>Sponsor-oriented checklist displayed.</x:v>
      </x:c>
      <x:c r="F13" s="55" t="str">
        <x:v>Artefact specification.</x:v>
      </x:c>
      <x:c r="G13" s="55" t="str">
        <x:v>Pass</x:v>
      </x:c>
      <x:c r="H13" s="53"/>
      <x:c r="I13" s="53"/>
    </x:row>
    <x:row r="14">
      <x:c r="A14" s="55" t="str">
        <x:v>T10</x:v>
      </x:c>
      <x:c r="B14" s="55" t="str">
        <x:v>Legal advice boundary</x:v>
      </x:c>
      <x:c r="C14" s="55" t="str">
        <x:v>Review legal-check wording.</x:v>
      </x:c>
      <x:c r="D14" s="55" t="str">
        <x:v>No individual legal conclusion or guarantee is made.</x:v>
      </x:c>
      <x:c r="E14" s="55" t="str">
        <x:v>Boundary statement and official signposting present.</x:v>
      </x:c>
      <x:c r="F14" s="55" t="str">
        <x:v>Governance rule.</x:v>
      </x:c>
      <x:c r="G14" s="55" t="str">
        <x:v>Pass</x:v>
      </x:c>
      <x:c r="H14" s="53"/>
      <x:c r="I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</x:row>
  </x:sheetData>
  <x:mergeCells>
    <x:mergeCell ref="A1:G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14" hidden="0" customWidth="1"/>
    <x:col min="5" max="5" width="50" hidden="0" customWidth="1"/>
    <x:col min="6" max="6" width="20" hidden="0" customWidth="1"/>
    <x:col min="7" max="7" width="20" hidden="0" customWidth="1"/>
    <x:col min="8" max="8" width="38" hidden="0" customWidth="1"/>
  </x:cols>
  <x:sheetData>
    <x:row r="1">
      <x:c r="A1" s="52" t="str">
        <x:v>FairNest UK — Pilot Risk Register</x:v>
      </x:c>
      <x:c r="B1" s="52"/>
      <x:c r="C1" s="52"/>
      <x:c r="D1" s="52"/>
      <x:c r="E1" s="52"/>
      <x:c r="F1" s="52"/>
      <x:c r="G1" s="52"/>
      <x:c r="H1" s="52"/>
      <x:c r="I1" s="53"/>
    </x:row>
    <x:row r="2">
      <x:c r="A2" s="52"/>
      <x:c r="B2" s="52"/>
      <x:c r="C2" s="52"/>
      <x:c r="D2" s="52"/>
      <x:c r="E2" s="52"/>
      <x:c r="F2" s="52"/>
      <x:c r="G2" s="52"/>
      <x:c r="H2" s="52"/>
      <x:c r="I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</x:row>
    <x:row r="4">
      <x:c r="A4" s="54" t="str">
        <x:v>Risk ID</x:v>
      </x:c>
      <x:c r="B4" s="54" t="str">
        <x:v>Risk</x:v>
      </x:c>
      <x:c r="C4" s="54" t="str">
        <x:v>Likelihood</x:v>
      </x:c>
      <x:c r="D4" s="54" t="str">
        <x:v>Impact</x:v>
      </x:c>
      <x:c r="E4" s="54" t="str">
        <x:v>Control</x:v>
      </x:c>
      <x:c r="F4" s="54" t="str">
        <x:v>Residual risk</x:v>
      </x:c>
      <x:c r="G4" s="54" t="str">
        <x:v>Owner at pilot</x:v>
      </x:c>
      <x:c r="H4" s="54" t="str">
        <x:v>Trigger / review</x:v>
      </x:c>
      <x:c r="I4" s="53"/>
    </x:row>
    <x:row r="5">
      <x:c r="A5" s="55" t="str">
        <x:v>RK01</x:v>
      </x:c>
      <x:c r="B5" s="55" t="str">
        <x:v>Out-of-date accommodation data</x:v>
      </x:c>
      <x:c r="C5" s="55" t="str">
        <x:v>High</x:v>
      </x:c>
      <x:c r="D5" s="55" t="str">
        <x:v>High</x:v>
      </x:c>
      <x:c r="E5" s="55" t="str">
        <x:v>Source dates, refresh schedule, provider correction route and expiry flags.</x:v>
      </x:c>
      <x:c r="F5" s="55" t="str">
        <x:v>Medium</x:v>
      </x:c>
      <x:c r="G5" s="55" t="str">
        <x:v>Data/operations</x:v>
      </x:c>
      <x:c r="H5" s="55" t="str">
        <x:v>Price or terms differ from first-party source.</x:v>
      </x:c>
      <x:c r="I5" s="53"/>
    </x:row>
    <x:row r="6">
      <x:c r="A6" s="55" t="str">
        <x:v>RK02</x:v>
      </x:c>
      <x:c r="B6" s="55" t="str">
        <x:v>Misclassification of tenancy/licence context</x:v>
      </x:c>
      <x:c r="C6" s="55" t="str">
        <x:v>Medium</x:v>
      </x:c>
      <x:c r="D6" s="55" t="str">
        <x:v>High</x:v>
      </x:c>
      <x:c r="E6" s="55" t="str">
        <x:v>Require agreement classification before legal prompts; unresolved cases flagged for official advice.</x:v>
      </x:c>
      <x:c r="F6" s="55" t="str">
        <x:v>Medium</x:v>
      </x:c>
      <x:c r="G6" s="55" t="str">
        <x:v>Operations/legal review</x:v>
      </x:c>
      <x:c r="H6" s="55" t="str">
        <x:v>Agreement type cannot be evidenced.</x:v>
      </x:c>
      <x:c r="I6" s="53"/>
    </x:row>
    <x:row r="7">
      <x:c r="A7" s="55" t="str">
        <x:v>RK03</x:v>
      </x:c>
      <x:c r="B7" s="55" t="str">
        <x:v>Users interpret Fit Score as safety/quality certification</x:v>
      </x:c>
      <x:c r="C7" s="55" t="str">
        <x:v>Medium</x:v>
      </x:c>
      <x:c r="D7" s="55" t="str">
        <x:v>High</x:v>
      </x:c>
      <x:c r="E7" s="55" t="str">
        <x:v>Persistent explanation that Fit Score is preference fit only; raw evidence remains visible.</x:v>
      </x:c>
      <x:c r="F7" s="55" t="str">
        <x:v>Low-Medium</x:v>
      </x:c>
      <x:c r="G7" s="55" t="str">
        <x:v>Product</x:v>
      </x:c>
      <x:c r="H7" s="55" t="str">
        <x:v>User-facing copy or marketing implies guarantee.</x:v>
      </x:c>
      <x:c r="I7" s="53"/>
    </x:row>
    <x:row r="8">
      <x:c r="A8" s="55" t="str">
        <x:v>RK04</x:v>
      </x:c>
      <x:c r="B8" s="55" t="str">
        <x:v>Paid provider influence undermines trust</x:v>
      </x:c>
      <x:c r="C8" s="55" t="str">
        <x:v>Medium</x:v>
      </x:c>
      <x:c r="D8" s="55" t="str">
        <x:v>High</x:v>
      </x:c>
      <x:c r="E8" s="55" t="str">
        <x:v>Paid status excluded from organic score; sponsored placement clearly separated if introduced.</x:v>
      </x:c>
      <x:c r="F8" s="55" t="str">
        <x:v>Low-Medium</x:v>
      </x:c>
      <x:c r="G8" s="55" t="str">
        <x:v>Commercial/product</x:v>
      </x:c>
      <x:c r="H8" s="55" t="str">
        <x:v>Commercial request to alter organic ranking.</x:v>
      </x:c>
      <x:c r="I8" s="53"/>
    </x:row>
    <x:row r="9">
      <x:c r="A9" s="55" t="str">
        <x:v>RK05</x:v>
      </x:c>
      <x:c r="B9" s="55" t="str">
        <x:v>Insufficient provider willingness to pay</x:v>
      </x:c>
      <x:c r="C9" s="55" t="str">
        <x:v>High</x:v>
      </x:c>
      <x:c r="D9" s="55" t="str">
        <x:v>Medium</x:v>
      </x:c>
      <x:c r="E9" s="55" t="str">
        <x:v>Stage-gate provider outreach; do not scale fixed cost before conversion evidence.</x:v>
      </x:c>
      <x:c r="F9" s="55" t="str">
        <x:v>Medium</x:v>
      </x:c>
      <x:c r="G9" s="55" t="str">
        <x:v>Commercial</x:v>
      </x:c>
      <x:c r="H9" s="55" t="str">
        <x:v>Paid-account conversion below gate.</x:v>
      </x:c>
      <x:c r="I9" s="53"/>
    </x:row>
    <x:row r="10">
      <x:c r="A10" s="55" t="str">
        <x:v>RK06</x:v>
      </x:c>
      <x:c r="B10" s="55" t="str">
        <x:v>Student adoption too low</x:v>
      </x:c>
      <x:c r="C10" s="55" t="str">
        <x:v>Medium</x:v>
      </x:c>
      <x:c r="D10" s="55" t="str">
        <x:v>High</x:v>
      </x:c>
      <x:c r="E10" s="55" t="str">
        <x:v>Free core, search-led educational acquisition, usability validation before expansion.</x:v>
      </x:c>
      <x:c r="F10" s="55" t="str">
        <x:v>Medium</x:v>
      </x:c>
      <x:c r="G10" s="55" t="str">
        <x:v>Marketing/product</x:v>
      </x:c>
      <x:c r="H10" s="55" t="str">
        <x:v>Low repeat use / shortlist completion.</x:v>
      </x:c>
      <x:c r="I10" s="53"/>
    </x:row>
    <x:row r="11">
      <x:c r="A11" s="55" t="str">
        <x:v>RK07</x:v>
      </x:c>
      <x:c r="B11" s="55" t="str">
        <x:v>Privacy overcollection</x:v>
      </x:c>
      <x:c r="C11" s="55" t="str">
        <x:v>Low-Medium</x:v>
      </x:c>
      <x:c r="D11" s="55" t="str">
        <x:v>High</x:v>
      </x:c>
      <x:c r="E11" s="55" t="str">
        <x:v>Data minimisation; no protected-characteristic ranking; documented retention/lawful basis before live launch.</x:v>
      </x:c>
      <x:c r="F11" s="55" t="str">
        <x:v>Low</x:v>
      </x:c>
      <x:c r="G11" s="55" t="str">
        <x:v>Data protection</x:v>
      </x:c>
      <x:c r="H11" s="55" t="str">
        <x:v>New feature requests unnecessary personal data.</x:v>
      </x:c>
      <x:c r="I11" s="53"/>
    </x:row>
    <x:row r="12">
      <x:c r="A12" s="55" t="str">
        <x:v>RK08</x:v>
      </x:c>
      <x:c r="B12" s="55" t="str">
        <x:v>Legal/regulatory change</x:v>
      </x:c>
      <x:c r="C12" s="55" t="str">
        <x:v>Medium</x:v>
      </x:c>
      <x:c r="D12" s="55" t="str">
        <x:v>High</x:v>
      </x:c>
      <x:c r="E12" s="55" t="str">
        <x:v>Quarterly official-source review and rule versioning.</x:v>
      </x:c>
      <x:c r="F12" s="55" t="str">
        <x:v>Medium</x:v>
      </x:c>
      <x:c r="G12" s="55" t="str">
        <x:v>Operations</x:v>
      </x:c>
      <x:c r="H12" s="55" t="str">
        <x:v>GOV.UK/ICO guidance updated.</x:v>
      </x:c>
      <x:c r="I12" s="53"/>
    </x:row>
    <x:row r="13">
      <x:c r="A13" s="55" t="str">
        <x:v>RK09</x:v>
      </x:c>
      <x:c r="B13" s="55" t="str">
        <x:v>Weak evidence coverage outside Coventry</x:v>
      </x:c>
      <x:c r="C13" s="55" t="str">
        <x:v>High</x:v>
      </x:c>
      <x:c r="D13" s="55" t="str">
        <x:v>Medium</x:v>
      </x:c>
      <x:c r="E13" s="55" t="str">
        <x:v>Keep pilot geographically bounded until repeatable sourcing is demonstrated.</x:v>
      </x:c>
      <x:c r="F13" s="55" t="str">
        <x:v>Medium</x:v>
      </x:c>
      <x:c r="G13" s="55" t="str">
        <x:v>Operations</x:v>
      </x:c>
      <x:c r="H13" s="55" t="str">
        <x:v>Expansion proposed before source coverage threshold.</x:v>
      </x:c>
      <x:c r="I13" s="53"/>
    </x:row>
    <x:row r="14">
      <x:c r="A14" s="55" t="str">
        <x:v>RK10</x:v>
      </x:c>
      <x:c r="B14" s="55" t="str">
        <x:v>Year-1 cash shortfall</x:v>
      </x:c>
      <x:c r="C14" s="55" t="str">
        <x:v>High</x:v>
      </x:c>
      <x:c r="D14" s="55" t="str">
        <x:v>High</x:v>
      </x:c>
      <x:c r="E14" s="55" t="str">
        <x:v>Capped funding buffer, monthly burn monitoring and go/no-go gates.</x:v>
      </x:c>
      <x:c r="F14" s="55" t="str">
        <x:v>Medium</x:v>
      </x:c>
      <x:c r="G14" s="55" t="str">
        <x:v>Founder/finance</x:v>
      </x:c>
      <x:c r="H14" s="55" t="str">
        <x:v>Cumulative cash falls below pilot buffer.</x:v>
      </x:c>
      <x:c r="I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</x:row>
  </x:sheetData>
  <x:mergeCells>
    <x:mergeCell ref="A1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50" hidden="0" customWidth="1"/>
    <x:col min="3" max="3" width="52" hidden="0" customWidth="1"/>
    <x:col min="4" max="4" width="44" hidden="0" customWidth="1"/>
    <x:col min="5" max="5" width="42" hidden="0" customWidth="1"/>
    <x:col min="6" max="6" width="34" hidden="0" customWidth="1"/>
  </x:cols>
  <x:sheetData>
    <x:row r="1">
      <x:c r="A1" s="52" t="str">
        <x:v>FairNest UK — Route 3 Distinction Evidence Map</x:v>
      </x:c>
      <x:c r="B1" s="52"/>
      <x:c r="C1" s="52"/>
      <x:c r="D1" s="52"/>
      <x:c r="E1" s="52"/>
      <x:c r="F1" s="52"/>
      <x:c r="G1" s="53"/>
      <x:c r="H1" s="53"/>
      <x:c r="I1" s="53"/>
    </x:row>
    <x:row r="2">
      <x:c r="A2" s="52"/>
      <x:c r="B2" s="52"/>
      <x:c r="C2" s="52"/>
      <x:c r="D2" s="52"/>
      <x:c r="E2" s="52"/>
      <x:c r="F2" s="52"/>
      <x:c r="G2" s="53"/>
      <x:c r="H2" s="53"/>
      <x:c r="I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</x:row>
    <x:row r="4">
      <x:c r="A4" s="54" t="str">
        <x:v>Criterion</x:v>
      </x:c>
      <x:c r="B4" s="54" t="str">
        <x:v>Distinction expectation</x:v>
      </x:c>
      <x:c r="C4" s="54" t="str">
        <x:v>Project evidence</x:v>
      </x:c>
      <x:c r="D4" s="54" t="str">
        <x:v>Repository evidence</x:v>
      </x:c>
      <x:c r="E4" s="54" t="str">
        <x:v>Critical strength</x:v>
      </x:c>
      <x:c r="F4" s="54" t="str">
        <x:v>Remaining limitation</x:v>
      </x:c>
      <x:c r="G4" s="53"/>
      <x:c r="H4" s="53"/>
      <x:c r="I4" s="53"/>
    </x:row>
    <x:row r="5">
      <x:c r="A5" s="55" t="str">
        <x:v>Executive summary / introduction / rationale</x:v>
      </x:c>
      <x:c r="B5" s="55" t="str">
        <x:v>Exceptional rationale, literature integration and clear business challenge/objectives.</x:v>
      </x:c>
      <x:c r="C5" s="55" t="str">
        <x:v>Market contradiction, four RQs, explicit Coventry pilot boundary and residual integration gap.</x:v>
      </x:c>
      <x:c r="D5" s="55" t="str">
        <x:v>Research log; source register; literature matrix; market evidence.</x:v>
      </x:c>
      <x:c r="E5" s="55" t="str">
        <x:v>Does not depend on a scarcity or automatic-growth story.</x:v>
      </x:c>
      <x:c r="F5" s="55" t="str">
        <x:v>No national validation.</x:v>
      </x:c>
      <x:c r="G5" s="53"/>
      <x:c r="H5" s="53"/>
      <x:c r="I5" s="53"/>
    </x:row>
    <x:row r="6">
      <x:c r="A6" s="55" t="str">
        <x:v>Methods &amp; ethical issues</x:v>
      </x:c>
      <x:c r="B6" s="55" t="str">
        <x:v>Critical justification, detailed secondary-data method, reliability/validity, limitations and ethics.</x:v>
      </x:c>
      <x:c r="C6" s="55" t="str">
        <x:v>Secondary-only design, evidence hierarchy, source dates, caveats, data minimisation and legal boundary.</x:v>
      </x:c>
      <x:c r="D6" s="55" t="str">
        <x:v>Methodology traceability; source register; legal/governance rules.</x:v>
      </x:c>
      <x:c r="E6" s="55" t="str">
        <x:v>Separates sourced evidence from managerial assumptions.</x:v>
      </x:c>
      <x:c r="F6" s="55" t="str">
        <x:v>No primary user/provider validation.</x:v>
      </x:c>
      <x:c r="G6" s="53"/>
      <x:c r="H6" s="53"/>
      <x:c r="I6" s="53"/>
    </x:row>
    <x:row r="7">
      <x:c r="A7" s="55" t="str">
        <x:v>Operations, marketing &amp; sales</x:v>
      </x:c>
      <x:c r="B7" s="55" t="str">
        <x:v>Evidence-based coherent strategy and justified revenue logic.</x:v>
      </x:c>
      <x:c r="C7" s="55" t="str">
        <x:v>Free student core, provider-funded model, trust controls, evidence-refresh capability and scenario economics.</x:v>
      </x:c>
      <x:c r="D7" s="55" t="str">
        <x:v>Competitor audit; assumptions; monthly model; risk register.</x:v>
      </x:c>
      <x:c r="E7" s="55" t="str">
        <x:v>Commercial logic explicitly connected to two-sided-platform theory.</x:v>
      </x:c>
      <x:c r="F7" s="55" t="str">
        <x:v>Provider willingness to pay remains unobserved.</x:v>
      </x:c>
      <x:c r="G7" s="53"/>
      <x:c r="H7" s="53"/>
      <x:c r="I7" s="53"/>
    </x:row>
    <x:row r="8">
      <x:c r="A8" s="55" t="str">
        <x:v>Recommendation / future direction</x:v>
      </x:c>
      <x:c r="B8" s="55" t="str">
        <x:v>Realistic implementation, critical evaluation and risk management.</x:v>
      </x:c>
      <x:c r="C8" s="55" t="str">
        <x:v>Stage-gated Coventry pilot with go/no-go criteria and explicit expansion conditions.</x:v>
      </x:c>
      <x:c r="D8" s="55" t="str">
        <x:v>Risk register; test record; implementation/QA documentation.</x:v>
      </x:c>
      <x:c r="E8" s="55" t="str">
        <x:v>Negative Year-1 result is treated as evidence, not hidden.</x:v>
      </x:c>
      <x:c r="F8" s="55" t="str">
        <x:v>Live retention and acquisition economics are unknown.</x:v>
      </x:c>
      <x:c r="G8" s="53"/>
      <x:c r="H8" s="53"/>
      <x:c r="I8" s="53"/>
    </x:row>
    <x:row r="9">
      <x:c r="A9" s="55" t="str">
        <x:v>Artefact</x:v>
      </x:c>
      <x:c r="B9" s="55" t="str">
        <x:v>Exceptional professional artefact linked to key issues/objectives.</x:v>
      </x:c>
      <x:c r="C9" s="55" t="str">
        <x:v>Functional decision engine with cost normalisation, provenance, contract context, adjustable preferences and sponsor view.</x:v>
      </x:c>
      <x:c r="D9" s="55" t="str">
        <x:v>Requirements sheet; test record; HTML artefact.</x:v>
      </x:c>
      <x:c r="E9" s="55" t="str">
        <x:v>Each major feature has a traceable evidence basis and acceptance condition.</x:v>
      </x:c>
      <x:c r="F9" s="55" t="str">
        <x:v>Scenario testing rather than live-user validation.</x:v>
      </x:c>
      <x:c r="G9" s="53"/>
      <x:c r="H9" s="53"/>
      <x:c r="I9" s="53"/>
    </x:row>
    <x:row r="10">
      <x:c r="A10" s="55" t="str">
        <x:v>Overall</x:v>
      </x:c>
      <x:c r="B10" s="55" t="str">
        <x:v>Critical analysis, wide commercial/government evidence, professional presentation and APA referencing.</x:v>
      </x:c>
      <x:c r="C10" s="55" t="str">
        <x:v>Triangulated official, academic, first-party and market sources; explicit limitations and governance.</x:v>
      </x:c>
      <x:c r="D10" s="55" t="str">
        <x:v>Master source register; report references; QA trail.</x:v>
      </x:c>
      <x:c r="E10" s="55" t="str">
        <x:v>Repository makes the evidence chain auditable.</x:v>
      </x:c>
      <x:c r="F10" s="55" t="str">
        <x:v>Public repository does not itself prove market adoption.</x:v>
      </x:c>
      <x:c r="G10" s="53"/>
      <x:c r="H10" s="53"/>
      <x:c r="I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</x:row>
  </x:sheetData>
  <x:mergeCells>
    <x:mergeCell ref="A1:F2"/>
  </x:mergeCells>
  <x:pageMargins left="0.7" right="0.7" top="0.75" bottom="0.75" header="0.3" footer="0.3"/>
</x:worksheet>
</file>